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 tabRatio="946" firstSheet="4" activeTab="11"/>
  </bookViews>
  <sheets>
    <sheet name="Descriere BBCHuri" sheetId="1" r:id="rId1"/>
    <sheet name="Soiuri SCDVV" sheetId="2" r:id="rId2"/>
    <sheet name="0 – DEZMUGURIRE (18.04.2023 (2)" sheetId="4" r:id="rId3"/>
    <sheet name="0 – DEZMUGURIRE (20.04.2023)" sheetId="3" r:id="rId4"/>
    <sheet name="0 – DEZMUGURIRE (28.04.2023)" sheetId="5" r:id="rId5"/>
    <sheet name="1 – FRUNZE (02.05.2023)" sheetId="6" r:id="rId6"/>
    <sheet name="5 – AP. INFL. (10.05.2023)" sheetId="9" r:id="rId7"/>
    <sheet name="5 – AP. INFL (29.05.2023) " sheetId="7" r:id="rId8"/>
    <sheet name="6 – ÎNFLORIRE (06.06.2023)" sheetId="10" r:id="rId9"/>
    <sheet name="7 – DEZV. BOABE (20.06.2023)" sheetId="11" r:id="rId10"/>
    <sheet name="77 – COMPACTARE (13.07.2023)" sheetId="12" r:id="rId11"/>
    <sheet name="8 – PÎRGA (23.08.2023)" sheetId="13" r:id="rId1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3" l="1"/>
  <c r="D62" i="3"/>
  <c r="E62" i="3"/>
  <c r="F62" i="3"/>
  <c r="G62" i="3"/>
  <c r="H62" i="3"/>
  <c r="I62" i="3"/>
  <c r="J62" i="3"/>
  <c r="B62" i="3"/>
  <c r="C62" i="4"/>
  <c r="D62" i="4"/>
  <c r="E62" i="4"/>
  <c r="F62" i="4"/>
  <c r="G62" i="4"/>
  <c r="H62" i="4"/>
  <c r="I62" i="4"/>
  <c r="J62" i="4"/>
  <c r="B62" i="4"/>
  <c r="M2" i="4"/>
  <c r="L2" i="4"/>
  <c r="M2" i="3"/>
  <c r="L2" i="3"/>
  <c r="F54" i="13"/>
  <c r="C64" i="13"/>
  <c r="D64" i="13"/>
  <c r="E64" i="13"/>
  <c r="F64" i="13"/>
  <c r="G64" i="13"/>
  <c r="H64" i="13"/>
  <c r="I64" i="13"/>
  <c r="J64" i="13"/>
  <c r="B64" i="13"/>
  <c r="C63" i="13"/>
  <c r="D63" i="13"/>
  <c r="E63" i="13"/>
  <c r="F63" i="13"/>
  <c r="G63" i="13"/>
  <c r="H63" i="13"/>
  <c r="I63" i="13"/>
  <c r="J63" i="13"/>
  <c r="B63" i="13"/>
  <c r="C56" i="13"/>
  <c r="C61" i="13" s="1"/>
  <c r="D56" i="13"/>
  <c r="D61" i="13" s="1"/>
  <c r="E56" i="13"/>
  <c r="E61" i="13" s="1"/>
  <c r="F56" i="13"/>
  <c r="G56" i="13"/>
  <c r="G61" i="13" s="1"/>
  <c r="H56" i="13"/>
  <c r="H61" i="13" s="1"/>
  <c r="I56" i="13"/>
  <c r="I61" i="13" s="1"/>
  <c r="J56" i="13"/>
  <c r="K56" i="13"/>
  <c r="K61" i="13" s="1"/>
  <c r="C57" i="13"/>
  <c r="D57" i="13"/>
  <c r="E57" i="13"/>
  <c r="F57" i="13"/>
  <c r="G57" i="13"/>
  <c r="H57" i="13"/>
  <c r="I57" i="13"/>
  <c r="J57" i="13"/>
  <c r="K57" i="13"/>
  <c r="C58" i="13"/>
  <c r="D58" i="13"/>
  <c r="E58" i="13"/>
  <c r="F58" i="13"/>
  <c r="F61" i="13" s="1"/>
  <c r="G58" i="13"/>
  <c r="H58" i="13"/>
  <c r="I58" i="13"/>
  <c r="J58" i="13"/>
  <c r="J61" i="13" s="1"/>
  <c r="K58" i="13"/>
  <c r="C59" i="13"/>
  <c r="D59" i="13"/>
  <c r="E59" i="13"/>
  <c r="F59" i="13"/>
  <c r="G59" i="13"/>
  <c r="H59" i="13"/>
  <c r="I59" i="13"/>
  <c r="J59" i="13"/>
  <c r="K59" i="13"/>
  <c r="C60" i="13"/>
  <c r="D60" i="13"/>
  <c r="E60" i="13"/>
  <c r="F60" i="13"/>
  <c r="G60" i="13"/>
  <c r="H60" i="13"/>
  <c r="I60" i="13"/>
  <c r="J60" i="13"/>
  <c r="K60" i="13"/>
  <c r="B60" i="13"/>
  <c r="B59" i="13"/>
  <c r="B58" i="13"/>
  <c r="B57" i="13"/>
  <c r="B56" i="13"/>
  <c r="B61" i="13" s="1"/>
  <c r="N3" i="13"/>
  <c r="M3" i="13"/>
  <c r="C65" i="12"/>
  <c r="D65" i="12"/>
  <c r="E65" i="12"/>
  <c r="F65" i="12"/>
  <c r="G65" i="12"/>
  <c r="H65" i="12"/>
  <c r="I65" i="12"/>
  <c r="J65" i="12"/>
  <c r="B65" i="12"/>
  <c r="C64" i="12"/>
  <c r="D64" i="12"/>
  <c r="E64" i="12"/>
  <c r="F64" i="12"/>
  <c r="G64" i="12"/>
  <c r="H64" i="12"/>
  <c r="I64" i="12"/>
  <c r="J64" i="12"/>
  <c r="B64" i="12"/>
  <c r="F62" i="12"/>
  <c r="J62" i="12"/>
  <c r="F54" i="12"/>
  <c r="B54" i="12"/>
  <c r="C56" i="12"/>
  <c r="C62" i="12" s="1"/>
  <c r="D56" i="12"/>
  <c r="D62" i="12" s="1"/>
  <c r="E56" i="12"/>
  <c r="E62" i="12" s="1"/>
  <c r="F56" i="12"/>
  <c r="G56" i="12"/>
  <c r="G62" i="12" s="1"/>
  <c r="H56" i="12"/>
  <c r="H62" i="12" s="1"/>
  <c r="I56" i="12"/>
  <c r="I62" i="12" s="1"/>
  <c r="J56" i="12"/>
  <c r="C57" i="12"/>
  <c r="D57" i="12"/>
  <c r="E57" i="12"/>
  <c r="F57" i="12"/>
  <c r="G57" i="12"/>
  <c r="H57" i="12"/>
  <c r="I57" i="12"/>
  <c r="J57" i="12"/>
  <c r="C58" i="12"/>
  <c r="D58" i="12"/>
  <c r="E58" i="12"/>
  <c r="F58" i="12"/>
  <c r="G58" i="12"/>
  <c r="H58" i="12"/>
  <c r="I58" i="12"/>
  <c r="J58" i="12"/>
  <c r="C59" i="12"/>
  <c r="D59" i="12"/>
  <c r="E59" i="12"/>
  <c r="F59" i="12"/>
  <c r="G59" i="12"/>
  <c r="H59" i="12"/>
  <c r="I59" i="12"/>
  <c r="J59" i="12"/>
  <c r="C60" i="12"/>
  <c r="D60" i="12"/>
  <c r="E60" i="12"/>
  <c r="F60" i="12"/>
  <c r="G60" i="12"/>
  <c r="H60" i="12"/>
  <c r="I60" i="12"/>
  <c r="J60" i="12"/>
  <c r="C61" i="12"/>
  <c r="D61" i="12"/>
  <c r="E61" i="12"/>
  <c r="F61" i="12"/>
  <c r="G61" i="12"/>
  <c r="H61" i="12"/>
  <c r="I61" i="12"/>
  <c r="J61" i="12"/>
  <c r="B61" i="12"/>
  <c r="B60" i="12"/>
  <c r="B59" i="12"/>
  <c r="B58" i="12"/>
  <c r="B57" i="12"/>
  <c r="B56" i="12"/>
  <c r="B62" i="12" s="1"/>
  <c r="M3" i="12"/>
  <c r="L3" i="12"/>
  <c r="C66" i="11" l="1"/>
  <c r="D66" i="11"/>
  <c r="E66" i="11"/>
  <c r="F66" i="11"/>
  <c r="G66" i="11"/>
  <c r="H66" i="11"/>
  <c r="I66" i="11"/>
  <c r="J66" i="11"/>
  <c r="B66" i="11"/>
  <c r="C65" i="11"/>
  <c r="D65" i="11"/>
  <c r="E65" i="11"/>
  <c r="F65" i="11"/>
  <c r="G65" i="11"/>
  <c r="H65" i="11"/>
  <c r="I65" i="11"/>
  <c r="J65" i="11"/>
  <c r="B65" i="11"/>
  <c r="C61" i="11"/>
  <c r="D61" i="11"/>
  <c r="E61" i="11"/>
  <c r="F61" i="11"/>
  <c r="G61" i="11"/>
  <c r="H61" i="11"/>
  <c r="I61" i="11"/>
  <c r="J61" i="11"/>
  <c r="B61" i="11"/>
  <c r="B60" i="11"/>
  <c r="C57" i="11"/>
  <c r="D57" i="11"/>
  <c r="E57" i="11"/>
  <c r="F57" i="11"/>
  <c r="G57" i="11"/>
  <c r="H57" i="11"/>
  <c r="I57" i="11"/>
  <c r="J57" i="11"/>
  <c r="C58" i="11"/>
  <c r="D58" i="11"/>
  <c r="E58" i="11"/>
  <c r="F58" i="11"/>
  <c r="G58" i="11"/>
  <c r="H58" i="11"/>
  <c r="I58" i="11"/>
  <c r="J58" i="11"/>
  <c r="C59" i="11"/>
  <c r="D59" i="11"/>
  <c r="E59" i="11"/>
  <c r="F59" i="11"/>
  <c r="G59" i="11"/>
  <c r="H59" i="11"/>
  <c r="I59" i="11"/>
  <c r="J59" i="11"/>
  <c r="C60" i="11"/>
  <c r="D60" i="11"/>
  <c r="E60" i="11"/>
  <c r="F60" i="11"/>
  <c r="G60" i="11"/>
  <c r="H60" i="11"/>
  <c r="I60" i="11"/>
  <c r="J60" i="11"/>
  <c r="C62" i="11"/>
  <c r="D62" i="11"/>
  <c r="E62" i="11"/>
  <c r="F62" i="11"/>
  <c r="G62" i="11"/>
  <c r="H62" i="11"/>
  <c r="I62" i="11"/>
  <c r="J62" i="11"/>
  <c r="B62" i="11"/>
  <c r="B59" i="11"/>
  <c r="B58" i="11"/>
  <c r="B57" i="11"/>
  <c r="B56" i="11"/>
  <c r="C56" i="11"/>
  <c r="C63" i="11" s="1"/>
  <c r="D56" i="11"/>
  <c r="E56" i="11"/>
  <c r="F56" i="11"/>
  <c r="G56" i="11"/>
  <c r="G63" i="11" s="1"/>
  <c r="H56" i="11"/>
  <c r="I56" i="11"/>
  <c r="I63" i="11" s="1"/>
  <c r="J56" i="11"/>
  <c r="L3" i="11"/>
  <c r="M3" i="11"/>
  <c r="C69" i="10"/>
  <c r="D69" i="10"/>
  <c r="E69" i="10"/>
  <c r="F69" i="10"/>
  <c r="G69" i="10"/>
  <c r="H69" i="10"/>
  <c r="I69" i="10"/>
  <c r="J69" i="10"/>
  <c r="B69" i="10"/>
  <c r="C68" i="10"/>
  <c r="D68" i="10"/>
  <c r="E68" i="10"/>
  <c r="F68" i="10"/>
  <c r="G68" i="10"/>
  <c r="H68" i="10"/>
  <c r="I68" i="10"/>
  <c r="J68" i="10"/>
  <c r="B68" i="10"/>
  <c r="C62" i="10"/>
  <c r="D62" i="10"/>
  <c r="E62" i="10"/>
  <c r="F62" i="10"/>
  <c r="G62" i="10"/>
  <c r="H62" i="10"/>
  <c r="I62" i="10"/>
  <c r="J62" i="10"/>
  <c r="C63" i="10"/>
  <c r="D63" i="10"/>
  <c r="E63" i="10"/>
  <c r="F63" i="10"/>
  <c r="G63" i="10"/>
  <c r="H63" i="10"/>
  <c r="I63" i="10"/>
  <c r="J63" i="10"/>
  <c r="C64" i="10"/>
  <c r="D64" i="10"/>
  <c r="E64" i="10"/>
  <c r="F64" i="10"/>
  <c r="G64" i="10"/>
  <c r="H64" i="10"/>
  <c r="I64" i="10"/>
  <c r="J64" i="10"/>
  <c r="C65" i="10"/>
  <c r="D65" i="10"/>
  <c r="E65" i="10"/>
  <c r="F65" i="10"/>
  <c r="G65" i="10"/>
  <c r="H65" i="10"/>
  <c r="I65" i="10"/>
  <c r="J65" i="10"/>
  <c r="B65" i="10"/>
  <c r="B64" i="10"/>
  <c r="B63" i="10"/>
  <c r="B62" i="10"/>
  <c r="B61" i="10"/>
  <c r="B57" i="10"/>
  <c r="B56" i="10"/>
  <c r="J61" i="10"/>
  <c r="I61" i="10"/>
  <c r="H61" i="10"/>
  <c r="G61" i="10"/>
  <c r="F61" i="10"/>
  <c r="E61" i="10"/>
  <c r="D61" i="10"/>
  <c r="C61" i="10"/>
  <c r="J60" i="10"/>
  <c r="I60" i="10"/>
  <c r="H60" i="10"/>
  <c r="G60" i="10"/>
  <c r="F60" i="10"/>
  <c r="E60" i="10"/>
  <c r="D60" i="10"/>
  <c r="C60" i="10"/>
  <c r="B60" i="10"/>
  <c r="J59" i="10"/>
  <c r="I59" i="10"/>
  <c r="H59" i="10"/>
  <c r="G59" i="10"/>
  <c r="G66" i="10" s="1"/>
  <c r="F59" i="10"/>
  <c r="E59" i="10"/>
  <c r="D59" i="10"/>
  <c r="C59" i="10"/>
  <c r="B59" i="10"/>
  <c r="J58" i="10"/>
  <c r="I58" i="10"/>
  <c r="H58" i="10"/>
  <c r="G58" i="10"/>
  <c r="F58" i="10"/>
  <c r="E58" i="10"/>
  <c r="D58" i="10"/>
  <c r="C58" i="10"/>
  <c r="B58" i="10"/>
  <c r="B66" i="10" s="1"/>
  <c r="J57" i="10"/>
  <c r="I57" i="10"/>
  <c r="H57" i="10"/>
  <c r="G57" i="10"/>
  <c r="F57" i="10"/>
  <c r="E57" i="10"/>
  <c r="D57" i="10"/>
  <c r="C57" i="10"/>
  <c r="J56" i="10"/>
  <c r="J66" i="10" s="1"/>
  <c r="I56" i="10"/>
  <c r="I66" i="10" s="1"/>
  <c r="H56" i="10"/>
  <c r="H66" i="10" s="1"/>
  <c r="G56" i="10"/>
  <c r="F56" i="10"/>
  <c r="E56" i="10"/>
  <c r="E66" i="10" s="1"/>
  <c r="D56" i="10"/>
  <c r="D66" i="10" s="1"/>
  <c r="C56" i="10"/>
  <c r="C66" i="10" s="1"/>
  <c r="M3" i="10"/>
  <c r="L3" i="10"/>
  <c r="C72" i="6"/>
  <c r="D72" i="6"/>
  <c r="E72" i="6"/>
  <c r="F72" i="6"/>
  <c r="G72" i="6"/>
  <c r="H72" i="6"/>
  <c r="I72" i="6"/>
  <c r="J72" i="6"/>
  <c r="B72" i="6"/>
  <c r="C71" i="6"/>
  <c r="D71" i="6"/>
  <c r="E71" i="6"/>
  <c r="F71" i="6"/>
  <c r="G71" i="6"/>
  <c r="H71" i="6"/>
  <c r="I71" i="6"/>
  <c r="J71" i="6"/>
  <c r="B71" i="6"/>
  <c r="C68" i="6"/>
  <c r="D68" i="6"/>
  <c r="E68" i="6"/>
  <c r="F68" i="6"/>
  <c r="G68" i="6"/>
  <c r="H68" i="6"/>
  <c r="I68" i="6"/>
  <c r="J68" i="6"/>
  <c r="B68" i="6"/>
  <c r="M3" i="6"/>
  <c r="L3" i="6"/>
  <c r="B67" i="6"/>
  <c r="C64" i="7"/>
  <c r="D64" i="7"/>
  <c r="E64" i="7"/>
  <c r="F64" i="7"/>
  <c r="G64" i="7"/>
  <c r="H64" i="7"/>
  <c r="I64" i="7"/>
  <c r="J64" i="7"/>
  <c r="B64" i="7"/>
  <c r="C57" i="7"/>
  <c r="D57" i="7"/>
  <c r="E57" i="7"/>
  <c r="F57" i="7"/>
  <c r="G57" i="7"/>
  <c r="H57" i="7"/>
  <c r="I57" i="7"/>
  <c r="J57" i="7"/>
  <c r="B57" i="7"/>
  <c r="B56" i="7"/>
  <c r="C60" i="7"/>
  <c r="D60" i="7"/>
  <c r="E60" i="7"/>
  <c r="F60" i="7"/>
  <c r="G60" i="7"/>
  <c r="H60" i="7"/>
  <c r="I60" i="7"/>
  <c r="J60" i="7"/>
  <c r="B60" i="7"/>
  <c r="B59" i="7"/>
  <c r="F73" i="9"/>
  <c r="B67" i="9"/>
  <c r="C63" i="9"/>
  <c r="D63" i="9"/>
  <c r="E63" i="9"/>
  <c r="F63" i="9"/>
  <c r="G63" i="9"/>
  <c r="H63" i="9"/>
  <c r="I63" i="9"/>
  <c r="J63" i="9"/>
  <c r="B63" i="9"/>
  <c r="B62" i="9"/>
  <c r="C56" i="7"/>
  <c r="D56" i="7"/>
  <c r="E56" i="7"/>
  <c r="F56" i="7"/>
  <c r="G56" i="7"/>
  <c r="H56" i="7"/>
  <c r="I56" i="7"/>
  <c r="J56" i="7"/>
  <c r="C58" i="7"/>
  <c r="D58" i="7"/>
  <c r="E58" i="7"/>
  <c r="F58" i="7"/>
  <c r="G58" i="7"/>
  <c r="H58" i="7"/>
  <c r="I58" i="7"/>
  <c r="J58" i="7"/>
  <c r="C59" i="7"/>
  <c r="D59" i="7"/>
  <c r="E59" i="7"/>
  <c r="F59" i="7"/>
  <c r="G59" i="7"/>
  <c r="H59" i="7"/>
  <c r="I59" i="7"/>
  <c r="J59" i="7"/>
  <c r="C61" i="7"/>
  <c r="D61" i="7"/>
  <c r="E61" i="7"/>
  <c r="F61" i="7"/>
  <c r="G61" i="7"/>
  <c r="H61" i="7"/>
  <c r="I61" i="7"/>
  <c r="J61" i="7"/>
  <c r="B61" i="7"/>
  <c r="B58" i="7"/>
  <c r="L4" i="7"/>
  <c r="L3" i="7"/>
  <c r="D56" i="9"/>
  <c r="D72" i="9" s="1"/>
  <c r="E56" i="9"/>
  <c r="E72" i="9" s="1"/>
  <c r="F56" i="9"/>
  <c r="G56" i="9"/>
  <c r="G68" i="9" s="1"/>
  <c r="H56" i="9"/>
  <c r="H72" i="9" s="1"/>
  <c r="I56" i="9"/>
  <c r="I72" i="9" s="1"/>
  <c r="J56" i="9"/>
  <c r="D57" i="9"/>
  <c r="E57" i="9"/>
  <c r="E68" i="9" s="1"/>
  <c r="F57" i="9"/>
  <c r="G57" i="9"/>
  <c r="H57" i="9"/>
  <c r="I57" i="9"/>
  <c r="I68" i="9" s="1"/>
  <c r="J57" i="9"/>
  <c r="D58" i="9"/>
  <c r="E58" i="9"/>
  <c r="F58" i="9"/>
  <c r="G58" i="9"/>
  <c r="H58" i="9"/>
  <c r="I58" i="9"/>
  <c r="J58" i="9"/>
  <c r="J72" i="9" s="1"/>
  <c r="D59" i="9"/>
  <c r="E59" i="9"/>
  <c r="F59" i="9"/>
  <c r="G59" i="9"/>
  <c r="G72" i="9" s="1"/>
  <c r="H59" i="9"/>
  <c r="I59" i="9"/>
  <c r="J59" i="9"/>
  <c r="D60" i="9"/>
  <c r="E60" i="9"/>
  <c r="F60" i="9"/>
  <c r="G60" i="9"/>
  <c r="H60" i="9"/>
  <c r="I60" i="9"/>
  <c r="J60" i="9"/>
  <c r="D61" i="9"/>
  <c r="E61" i="9"/>
  <c r="F61" i="9"/>
  <c r="G61" i="9"/>
  <c r="H61" i="9"/>
  <c r="I61" i="9"/>
  <c r="J61" i="9"/>
  <c r="D62" i="9"/>
  <c r="D73" i="9" s="1"/>
  <c r="E62" i="9"/>
  <c r="E73" i="9" s="1"/>
  <c r="F62" i="9"/>
  <c r="G62" i="9"/>
  <c r="H62" i="9"/>
  <c r="H73" i="9" s="1"/>
  <c r="I62" i="9"/>
  <c r="I73" i="9" s="1"/>
  <c r="J62" i="9"/>
  <c r="D64" i="9"/>
  <c r="E64" i="9"/>
  <c r="F64" i="9"/>
  <c r="G64" i="9"/>
  <c r="G73" i="9" s="1"/>
  <c r="H64" i="9"/>
  <c r="I64" i="9"/>
  <c r="J64" i="9"/>
  <c r="D65" i="9"/>
  <c r="E65" i="9"/>
  <c r="F65" i="9"/>
  <c r="G65" i="9"/>
  <c r="H65" i="9"/>
  <c r="I65" i="9"/>
  <c r="J65" i="9"/>
  <c r="D66" i="9"/>
  <c r="E66" i="9"/>
  <c r="F66" i="9"/>
  <c r="G66" i="9"/>
  <c r="H66" i="9"/>
  <c r="I66" i="9"/>
  <c r="J66" i="9"/>
  <c r="D67" i="9"/>
  <c r="E67" i="9"/>
  <c r="F67" i="9"/>
  <c r="G67" i="9"/>
  <c r="H67" i="9"/>
  <c r="I67" i="9"/>
  <c r="J67" i="9"/>
  <c r="C62" i="9"/>
  <c r="C56" i="9"/>
  <c r="C68" i="9" s="1"/>
  <c r="C57" i="9"/>
  <c r="C58" i="9"/>
  <c r="C72" i="9" s="1"/>
  <c r="C59" i="9"/>
  <c r="C60" i="9"/>
  <c r="C61" i="9"/>
  <c r="C64" i="9"/>
  <c r="C73" i="9" s="1"/>
  <c r="C65" i="9"/>
  <c r="C66" i="9"/>
  <c r="C67" i="9"/>
  <c r="B56" i="9"/>
  <c r="B66" i="9"/>
  <c r="B65" i="9"/>
  <c r="B64" i="9"/>
  <c r="B61" i="9"/>
  <c r="B60" i="9"/>
  <c r="B59" i="9"/>
  <c r="B58" i="9"/>
  <c r="B57" i="9"/>
  <c r="B72" i="9" s="1"/>
  <c r="M5" i="9"/>
  <c r="M4" i="9"/>
  <c r="J54" i="13"/>
  <c r="I54" i="13"/>
  <c r="H54" i="13"/>
  <c r="G54" i="13"/>
  <c r="E54" i="13"/>
  <c r="D54" i="13"/>
  <c r="C54" i="13"/>
  <c r="B54" i="13"/>
  <c r="J54" i="12"/>
  <c r="I54" i="12"/>
  <c r="H54" i="12"/>
  <c r="G54" i="12"/>
  <c r="E54" i="12"/>
  <c r="D54" i="12"/>
  <c r="C54" i="12"/>
  <c r="J54" i="11"/>
  <c r="I54" i="11"/>
  <c r="H54" i="11"/>
  <c r="G54" i="11"/>
  <c r="F54" i="11"/>
  <c r="E54" i="11"/>
  <c r="D54" i="11"/>
  <c r="C54" i="11"/>
  <c r="B54" i="11"/>
  <c r="J54" i="10"/>
  <c r="I54" i="10"/>
  <c r="H54" i="10"/>
  <c r="G54" i="10"/>
  <c r="F54" i="10"/>
  <c r="E54" i="10"/>
  <c r="D54" i="10"/>
  <c r="C54" i="10"/>
  <c r="B54" i="10"/>
  <c r="D58" i="6"/>
  <c r="H63" i="11" l="1"/>
  <c r="D63" i="11"/>
  <c r="J63" i="11"/>
  <c r="F63" i="11"/>
  <c r="B63" i="11"/>
  <c r="E63" i="11"/>
  <c r="F66" i="10"/>
  <c r="J62" i="7"/>
  <c r="H62" i="7"/>
  <c r="D62" i="7"/>
  <c r="F62" i="7"/>
  <c r="I62" i="7"/>
  <c r="E62" i="7"/>
  <c r="G62" i="7"/>
  <c r="C62" i="7"/>
  <c r="B62" i="7"/>
  <c r="J73" i="9"/>
  <c r="F68" i="9"/>
  <c r="B68" i="9"/>
  <c r="B73" i="9"/>
  <c r="J68" i="9"/>
  <c r="F72" i="9"/>
  <c r="H68" i="9"/>
  <c r="D68" i="9"/>
  <c r="J54" i="9"/>
  <c r="I54" i="9"/>
  <c r="H54" i="9"/>
  <c r="G54" i="9"/>
  <c r="F54" i="9"/>
  <c r="E54" i="9"/>
  <c r="D54" i="9"/>
  <c r="C54" i="9"/>
  <c r="B54" i="9"/>
  <c r="J54" i="7"/>
  <c r="I54" i="7"/>
  <c r="H54" i="7"/>
  <c r="G54" i="7"/>
  <c r="F54" i="7"/>
  <c r="E54" i="7"/>
  <c r="D54" i="7"/>
  <c r="C54" i="7"/>
  <c r="B54" i="7"/>
  <c r="C67" i="6"/>
  <c r="D67" i="6"/>
  <c r="E67" i="6"/>
  <c r="F67" i="6"/>
  <c r="G67" i="6"/>
  <c r="H67" i="6"/>
  <c r="I67" i="6"/>
  <c r="J67" i="6"/>
  <c r="B62" i="6"/>
  <c r="B60" i="6"/>
  <c r="J66" i="6"/>
  <c r="I66" i="6"/>
  <c r="H66" i="6"/>
  <c r="G66" i="6"/>
  <c r="F66" i="6"/>
  <c r="E66" i="6"/>
  <c r="D66" i="6"/>
  <c r="C66" i="6"/>
  <c r="B66" i="6"/>
  <c r="J65" i="6"/>
  <c r="I65" i="6"/>
  <c r="H65" i="6"/>
  <c r="G65" i="6"/>
  <c r="F65" i="6"/>
  <c r="E65" i="6"/>
  <c r="D65" i="6"/>
  <c r="C65" i="6"/>
  <c r="B65" i="6"/>
  <c r="J64" i="6"/>
  <c r="I64" i="6"/>
  <c r="H64" i="6"/>
  <c r="G64" i="6"/>
  <c r="F64" i="6"/>
  <c r="E64" i="6"/>
  <c r="D64" i="6"/>
  <c r="C64" i="6"/>
  <c r="B64" i="6"/>
  <c r="J63" i="6"/>
  <c r="I63" i="6"/>
  <c r="H63" i="6"/>
  <c r="G63" i="6"/>
  <c r="F63" i="6"/>
  <c r="E63" i="6"/>
  <c r="D63" i="6"/>
  <c r="C63" i="6"/>
  <c r="B63" i="6"/>
  <c r="J62" i="6"/>
  <c r="I62" i="6"/>
  <c r="H62" i="6"/>
  <c r="G62" i="6"/>
  <c r="F62" i="6"/>
  <c r="E62" i="6"/>
  <c r="D62" i="6"/>
  <c r="C62" i="6"/>
  <c r="J61" i="6"/>
  <c r="I61" i="6"/>
  <c r="H61" i="6"/>
  <c r="G61" i="6"/>
  <c r="F61" i="6"/>
  <c r="E61" i="6"/>
  <c r="D61" i="6"/>
  <c r="C61" i="6"/>
  <c r="B61" i="6"/>
  <c r="J60" i="6"/>
  <c r="I60" i="6"/>
  <c r="H60" i="6"/>
  <c r="G60" i="6"/>
  <c r="F60" i="6"/>
  <c r="E60" i="6"/>
  <c r="D60" i="6"/>
  <c r="C60" i="6"/>
  <c r="J59" i="6"/>
  <c r="I59" i="6"/>
  <c r="H59" i="6"/>
  <c r="G59" i="6"/>
  <c r="F59" i="6"/>
  <c r="E59" i="6"/>
  <c r="D59" i="6"/>
  <c r="C59" i="6"/>
  <c r="B59" i="6"/>
  <c r="J58" i="6"/>
  <c r="I58" i="6"/>
  <c r="H58" i="6"/>
  <c r="G58" i="6"/>
  <c r="F58" i="6"/>
  <c r="E58" i="6"/>
  <c r="C58" i="6"/>
  <c r="B58" i="6"/>
  <c r="J57" i="6"/>
  <c r="I57" i="6"/>
  <c r="H57" i="6"/>
  <c r="G57" i="6"/>
  <c r="F57" i="6"/>
  <c r="E57" i="6"/>
  <c r="D57" i="6"/>
  <c r="C57" i="6"/>
  <c r="B57" i="6"/>
  <c r="J56" i="6"/>
  <c r="J69" i="6" s="1"/>
  <c r="I56" i="6"/>
  <c r="H56" i="6"/>
  <c r="G56" i="6"/>
  <c r="F56" i="6"/>
  <c r="F69" i="6" s="1"/>
  <c r="E56" i="6"/>
  <c r="D56" i="6"/>
  <c r="C56" i="6"/>
  <c r="B56" i="6"/>
  <c r="B69" i="6" s="1"/>
  <c r="J54" i="6"/>
  <c r="I54" i="6"/>
  <c r="H54" i="6"/>
  <c r="G54" i="6"/>
  <c r="F54" i="6"/>
  <c r="E54" i="6"/>
  <c r="D54" i="6"/>
  <c r="C54" i="6"/>
  <c r="B54" i="6"/>
  <c r="F71" i="5"/>
  <c r="I72" i="5"/>
  <c r="C72" i="5"/>
  <c r="D72" i="5"/>
  <c r="E72" i="5"/>
  <c r="F72" i="5"/>
  <c r="G72" i="5"/>
  <c r="H72" i="5"/>
  <c r="J72" i="5"/>
  <c r="B72" i="5"/>
  <c r="C62" i="5"/>
  <c r="D62" i="5"/>
  <c r="E62" i="5"/>
  <c r="F62" i="5"/>
  <c r="G62" i="5"/>
  <c r="H62" i="5"/>
  <c r="I62" i="5"/>
  <c r="J62" i="5"/>
  <c r="C60" i="5"/>
  <c r="D60" i="5"/>
  <c r="E60" i="5"/>
  <c r="F60" i="5"/>
  <c r="G60" i="5"/>
  <c r="H60" i="5"/>
  <c r="I60" i="5"/>
  <c r="J60" i="5"/>
  <c r="C61" i="5"/>
  <c r="D61" i="5"/>
  <c r="E61" i="5"/>
  <c r="F61" i="5"/>
  <c r="G61" i="5"/>
  <c r="H61" i="5"/>
  <c r="I61" i="5"/>
  <c r="J61" i="5"/>
  <c r="B60" i="5"/>
  <c r="D71" i="5"/>
  <c r="E71" i="5"/>
  <c r="B61" i="5"/>
  <c r="C69" i="5"/>
  <c r="D69" i="5"/>
  <c r="E69" i="5"/>
  <c r="F69" i="5"/>
  <c r="G69" i="5"/>
  <c r="H69" i="5"/>
  <c r="I69" i="5"/>
  <c r="J69" i="5"/>
  <c r="B69" i="5"/>
  <c r="C68" i="5"/>
  <c r="D68" i="5"/>
  <c r="E68" i="5"/>
  <c r="F68" i="5"/>
  <c r="G68" i="5"/>
  <c r="H68" i="5"/>
  <c r="I68" i="5"/>
  <c r="J68" i="5"/>
  <c r="B68" i="5"/>
  <c r="C67" i="5"/>
  <c r="D67" i="5"/>
  <c r="E67" i="5"/>
  <c r="F67" i="5"/>
  <c r="G67" i="5"/>
  <c r="H67" i="5"/>
  <c r="I67" i="5"/>
  <c r="J67" i="5"/>
  <c r="B67" i="5"/>
  <c r="C66" i="5"/>
  <c r="D66" i="5"/>
  <c r="E66" i="5"/>
  <c r="F66" i="5"/>
  <c r="G66" i="5"/>
  <c r="H66" i="5"/>
  <c r="I66" i="5"/>
  <c r="J66" i="5"/>
  <c r="B66" i="5"/>
  <c r="C64" i="5"/>
  <c r="D64" i="5"/>
  <c r="E64" i="5"/>
  <c r="F64" i="5"/>
  <c r="G64" i="5"/>
  <c r="H64" i="5"/>
  <c r="I64" i="5"/>
  <c r="J64" i="5"/>
  <c r="B64" i="5"/>
  <c r="B63" i="5"/>
  <c r="C63" i="5"/>
  <c r="D63" i="5"/>
  <c r="E63" i="5"/>
  <c r="F63" i="5"/>
  <c r="G63" i="5"/>
  <c r="H63" i="5"/>
  <c r="I63" i="5"/>
  <c r="J63" i="5"/>
  <c r="B62" i="5"/>
  <c r="J65" i="5"/>
  <c r="I65" i="5"/>
  <c r="H65" i="5"/>
  <c r="G65" i="5"/>
  <c r="F65" i="5"/>
  <c r="E65" i="5"/>
  <c r="D65" i="5"/>
  <c r="C65" i="5"/>
  <c r="B65" i="5"/>
  <c r="J59" i="5"/>
  <c r="I59" i="5"/>
  <c r="H59" i="5"/>
  <c r="G59" i="5"/>
  <c r="F59" i="5"/>
  <c r="E59" i="5"/>
  <c r="D59" i="5"/>
  <c r="C59" i="5"/>
  <c r="B59" i="5"/>
  <c r="J58" i="5"/>
  <c r="I58" i="5"/>
  <c r="H58" i="5"/>
  <c r="G58" i="5"/>
  <c r="F58" i="5"/>
  <c r="E58" i="5"/>
  <c r="D58" i="5"/>
  <c r="C58" i="5"/>
  <c r="B58" i="5"/>
  <c r="J57" i="5"/>
  <c r="I57" i="5"/>
  <c r="H57" i="5"/>
  <c r="G57" i="5"/>
  <c r="F57" i="5"/>
  <c r="E57" i="5"/>
  <c r="D57" i="5"/>
  <c r="C57" i="5"/>
  <c r="B57" i="5"/>
  <c r="J56" i="5"/>
  <c r="I56" i="5"/>
  <c r="H56" i="5"/>
  <c r="G56" i="5"/>
  <c r="F56" i="5"/>
  <c r="E56" i="5"/>
  <c r="D56" i="5"/>
  <c r="C56" i="5"/>
  <c r="B56" i="5"/>
  <c r="J54" i="5"/>
  <c r="I54" i="5"/>
  <c r="H54" i="5"/>
  <c r="G54" i="5"/>
  <c r="F54" i="5"/>
  <c r="E54" i="5"/>
  <c r="D54" i="5"/>
  <c r="C54" i="5"/>
  <c r="B54" i="5"/>
  <c r="J61" i="4"/>
  <c r="I61" i="4"/>
  <c r="H61" i="4"/>
  <c r="G61" i="4"/>
  <c r="F61" i="4"/>
  <c r="E61" i="4"/>
  <c r="D61" i="4"/>
  <c r="C61" i="4"/>
  <c r="B61" i="4"/>
  <c r="J60" i="4"/>
  <c r="I60" i="4"/>
  <c r="H60" i="4"/>
  <c r="G60" i="4"/>
  <c r="F60" i="4"/>
  <c r="E60" i="4"/>
  <c r="D60" i="4"/>
  <c r="C60" i="4"/>
  <c r="B60" i="4"/>
  <c r="J59" i="4"/>
  <c r="J64" i="4" s="1"/>
  <c r="I59" i="4"/>
  <c r="I64" i="4" s="1"/>
  <c r="H59" i="4"/>
  <c r="G59" i="4"/>
  <c r="F59" i="4"/>
  <c r="F64" i="4" s="1"/>
  <c r="E59" i="4"/>
  <c r="E64" i="4" s="1"/>
  <c r="D59" i="4"/>
  <c r="C59" i="4"/>
  <c r="B59" i="4"/>
  <c r="B64" i="4" s="1"/>
  <c r="J58" i="4"/>
  <c r="I58" i="4"/>
  <c r="H58" i="4"/>
  <c r="G58" i="4"/>
  <c r="F58" i="4"/>
  <c r="E58" i="4"/>
  <c r="D58" i="4"/>
  <c r="C58" i="4"/>
  <c r="B58" i="4"/>
  <c r="J57" i="4"/>
  <c r="I57" i="4"/>
  <c r="H57" i="4"/>
  <c r="G57" i="4"/>
  <c r="F57" i="4"/>
  <c r="E57" i="4"/>
  <c r="D57" i="4"/>
  <c r="C57" i="4"/>
  <c r="B57" i="4"/>
  <c r="J56" i="4"/>
  <c r="I56" i="4"/>
  <c r="H56" i="4"/>
  <c r="G56" i="4"/>
  <c r="F56" i="4"/>
  <c r="E56" i="4"/>
  <c r="D56" i="4"/>
  <c r="C56" i="4"/>
  <c r="B56" i="4"/>
  <c r="J55" i="4"/>
  <c r="I55" i="4"/>
  <c r="H55" i="4"/>
  <c r="G55" i="4"/>
  <c r="F55" i="4"/>
  <c r="E55" i="4"/>
  <c r="D55" i="4"/>
  <c r="C55" i="4"/>
  <c r="B55" i="4"/>
  <c r="J53" i="4"/>
  <c r="I53" i="4"/>
  <c r="H53" i="4"/>
  <c r="G53" i="4"/>
  <c r="F53" i="4"/>
  <c r="E53" i="4"/>
  <c r="D53" i="4"/>
  <c r="C53" i="4"/>
  <c r="B53" i="4"/>
  <c r="I61" i="3"/>
  <c r="I60" i="3"/>
  <c r="I59" i="3"/>
  <c r="I58" i="3"/>
  <c r="I57" i="3"/>
  <c r="I56" i="3"/>
  <c r="I55" i="3"/>
  <c r="I53" i="3"/>
  <c r="H61" i="3"/>
  <c r="H60" i="3"/>
  <c r="H59" i="3"/>
  <c r="H58" i="3"/>
  <c r="H57" i="3"/>
  <c r="H56" i="3"/>
  <c r="H55" i="3"/>
  <c r="H53" i="3"/>
  <c r="G61" i="3"/>
  <c r="G60" i="3"/>
  <c r="G59" i="3"/>
  <c r="G58" i="3"/>
  <c r="G57" i="3"/>
  <c r="G56" i="3"/>
  <c r="G55" i="3"/>
  <c r="G53" i="3"/>
  <c r="F61" i="3"/>
  <c r="F60" i="3"/>
  <c r="F59" i="3"/>
  <c r="F58" i="3"/>
  <c r="F57" i="3"/>
  <c r="F56" i="3"/>
  <c r="F55" i="3"/>
  <c r="F53" i="3"/>
  <c r="E61" i="3"/>
  <c r="E60" i="3"/>
  <c r="E59" i="3"/>
  <c r="E58" i="3"/>
  <c r="E57" i="3"/>
  <c r="E56" i="3"/>
  <c r="E55" i="3"/>
  <c r="E53" i="3"/>
  <c r="D61" i="3"/>
  <c r="D60" i="3"/>
  <c r="D59" i="3"/>
  <c r="D58" i="3"/>
  <c r="D57" i="3"/>
  <c r="D56" i="3"/>
  <c r="D55" i="3"/>
  <c r="D53" i="3"/>
  <c r="C61" i="3"/>
  <c r="C60" i="3"/>
  <c r="C59" i="3"/>
  <c r="C58" i="3"/>
  <c r="C57" i="3"/>
  <c r="C56" i="3"/>
  <c r="C55" i="3"/>
  <c r="C53" i="3"/>
  <c r="B61" i="3"/>
  <c r="B60" i="3"/>
  <c r="B59" i="3"/>
  <c r="B64" i="3" s="1"/>
  <c r="B58" i="3"/>
  <c r="B57" i="3"/>
  <c r="B56" i="3"/>
  <c r="B55" i="3"/>
  <c r="B53" i="3"/>
  <c r="J53" i="3"/>
  <c r="J60" i="3"/>
  <c r="J59" i="3"/>
  <c r="J58" i="3"/>
  <c r="J55" i="3"/>
  <c r="J61" i="3"/>
  <c r="J57" i="3"/>
  <c r="J56" i="3"/>
  <c r="C64" i="4" l="1"/>
  <c r="G64" i="4"/>
  <c r="D64" i="4"/>
  <c r="H64" i="4"/>
  <c r="G69" i="6"/>
  <c r="C69" i="6"/>
  <c r="D69" i="6"/>
  <c r="H69" i="6"/>
  <c r="E69" i="6"/>
  <c r="I69" i="6"/>
  <c r="J71" i="5"/>
  <c r="I71" i="5"/>
  <c r="B71" i="5"/>
  <c r="C71" i="5"/>
  <c r="G71" i="5"/>
  <c r="H71" i="5"/>
  <c r="J64" i="3"/>
  <c r="I64" i="3"/>
  <c r="H64" i="3"/>
  <c r="G64" i="3"/>
  <c r="F64" i="3"/>
  <c r="E64" i="3"/>
  <c r="D64" i="3"/>
  <c r="C64" i="3"/>
</calcChain>
</file>

<file path=xl/sharedStrings.xml><?xml version="1.0" encoding="utf-8"?>
<sst xmlns="http://schemas.openxmlformats.org/spreadsheetml/2006/main" count="235" uniqueCount="114">
  <si>
    <t>1 – DEZVOLTAREA FRUNZELOR</t>
  </si>
  <si>
    <t>5 – APARITIA INFLORESCENTELOR</t>
  </si>
  <si>
    <t>6 – INFLORIREA</t>
  </si>
  <si>
    <t>0 – DEZMUGURIRE</t>
  </si>
  <si>
    <t>7 – DEZVOLTAREA FRUCTELOR</t>
  </si>
  <si>
    <t>8 – COACEREA STRUGURILOR</t>
  </si>
  <si>
    <t>9 – SENESCENȚA (pregatirea pentru repausul vegetativ „perioada rece din an”)</t>
  </si>
  <si>
    <r>
      <rPr>
        <b/>
        <sz val="11"/>
        <color theme="1"/>
        <rFont val="Calibri"/>
        <family val="2"/>
        <scheme val="minor"/>
      </rPr>
      <t>BBCH 00</t>
    </r>
    <r>
      <rPr>
        <sz val="11"/>
        <color theme="1"/>
        <rFont val="Calibri"/>
        <family val="2"/>
        <charset val="238"/>
        <scheme val="minor"/>
      </rPr>
      <t xml:space="preserve"> : Repaus vegetativ</t>
    </r>
  </si>
  <si>
    <r>
      <rPr>
        <b/>
        <sz val="11"/>
        <color theme="1"/>
        <rFont val="Calibri"/>
        <family val="2"/>
        <scheme val="minor"/>
      </rPr>
      <t>BBCH 01</t>
    </r>
    <r>
      <rPr>
        <sz val="11"/>
        <color theme="1"/>
        <rFont val="Calibri"/>
        <family val="2"/>
        <charset val="238"/>
        <scheme val="minor"/>
      </rPr>
      <t xml:space="preserve"> : Plansul vitei de vie (varful mugurilor capata o forma bombata</t>
    </r>
  </si>
  <si>
    <r>
      <rPr>
        <b/>
        <sz val="11"/>
        <color theme="1"/>
        <rFont val="Calibri"/>
        <family val="2"/>
        <scheme val="minor"/>
      </rPr>
      <t>BBCH 02</t>
    </r>
    <r>
      <rPr>
        <sz val="11"/>
        <color theme="1"/>
        <rFont val="Calibri"/>
        <family val="2"/>
        <charset val="238"/>
        <scheme val="minor"/>
      </rPr>
      <t xml:space="preserve"> : Mijlocul umflarii mugurilor ( mugurii de umfla, solzii se crapa)</t>
    </r>
  </si>
  <si>
    <r>
      <rPr>
        <b/>
        <sz val="11"/>
        <color theme="1"/>
        <rFont val="Calibri"/>
        <family val="2"/>
        <scheme val="minor"/>
      </rPr>
      <t>BBCH 03</t>
    </r>
    <r>
      <rPr>
        <sz val="11"/>
        <color theme="1"/>
        <rFont val="Calibri"/>
        <family val="2"/>
        <charset val="238"/>
        <scheme val="minor"/>
      </rPr>
      <t xml:space="preserve"> : Sfârșitul umflării mugurilor (solzii se crapă, iar varful muguriloreste bombat „rotunjit”)</t>
    </r>
  </si>
  <si>
    <r>
      <rPr>
        <b/>
        <sz val="11"/>
        <color theme="1"/>
        <rFont val="Calibri"/>
        <family val="2"/>
        <scheme val="minor"/>
      </rPr>
      <t>BBCH 05</t>
    </r>
    <r>
      <rPr>
        <sz val="11"/>
        <color theme="1"/>
        <rFont val="Calibri"/>
        <family val="2"/>
        <charset val="238"/>
        <scheme val="minor"/>
      </rPr>
      <t xml:space="preserve"> : Mugure de iarna in stadiu de vata (lana) – se observa firișoare scamoase – brune (peri bruni) cu rol protector</t>
    </r>
  </si>
  <si>
    <r>
      <rPr>
        <b/>
        <sz val="11"/>
        <color theme="1"/>
        <rFont val="Calibri"/>
        <family val="2"/>
        <scheme val="minor"/>
      </rPr>
      <t>BBCH 07</t>
    </r>
    <r>
      <rPr>
        <sz val="11"/>
        <color theme="1"/>
        <rFont val="Calibri"/>
        <family val="2"/>
        <charset val="238"/>
        <scheme val="minor"/>
      </rPr>
      <t xml:space="preserve"> : Inceputul spargerii mugurilor – primordiile (primele frunzulite) verzi devin usor vizibile</t>
    </r>
  </si>
  <si>
    <r>
      <rPr>
        <b/>
        <sz val="11"/>
        <color theme="1"/>
        <rFont val="Calibri"/>
        <family val="2"/>
        <scheme val="minor"/>
      </rPr>
      <t>BBCH 08-09</t>
    </r>
    <r>
      <rPr>
        <sz val="11"/>
        <color theme="1"/>
        <rFont val="Calibri"/>
        <family val="2"/>
        <charset val="238"/>
        <scheme val="minor"/>
      </rPr>
      <t xml:space="preserve"> : Dezmugurit complet – primordiile verzi (primele frunzulite, varful lastarului) sunt vizibile</t>
    </r>
  </si>
  <si>
    <r>
      <rPr>
        <b/>
        <sz val="11"/>
        <color theme="1"/>
        <rFont val="Calibri"/>
        <family val="2"/>
        <scheme val="minor"/>
      </rPr>
      <t>BBCH 10</t>
    </r>
    <r>
      <rPr>
        <sz val="11"/>
        <color theme="1"/>
        <rFont val="Calibri"/>
        <family val="2"/>
        <charset val="238"/>
        <scheme val="minor"/>
      </rPr>
      <t xml:space="preserve"> : Frunzulițe sub forma de rozeta</t>
    </r>
  </si>
  <si>
    <r>
      <rPr>
        <b/>
        <sz val="11"/>
        <color theme="1"/>
        <rFont val="Calibri"/>
        <family val="2"/>
        <scheme val="minor"/>
      </rPr>
      <t>BBCH 11</t>
    </r>
    <r>
      <rPr>
        <sz val="11"/>
        <color theme="1"/>
        <rFont val="Calibri"/>
        <family val="2"/>
        <charset val="238"/>
        <scheme val="minor"/>
      </rPr>
      <t xml:space="preserve"> : Prima (1) frunza vizibila</t>
    </r>
  </si>
  <si>
    <r>
      <rPr>
        <b/>
        <sz val="11"/>
        <color theme="1"/>
        <rFont val="Calibri"/>
        <family val="2"/>
        <scheme val="minor"/>
      </rPr>
      <t>BBCH 12</t>
    </r>
    <r>
      <rPr>
        <sz val="11"/>
        <color theme="1"/>
        <rFont val="Calibri"/>
        <family val="2"/>
        <charset val="238"/>
        <scheme val="minor"/>
      </rPr>
      <t xml:space="preserve"> : Două (2) frunze vizibile</t>
    </r>
  </si>
  <si>
    <r>
      <rPr>
        <b/>
        <sz val="11"/>
        <color theme="1"/>
        <rFont val="Calibri"/>
        <family val="2"/>
        <scheme val="minor"/>
      </rPr>
      <t>BBCH 13</t>
    </r>
    <r>
      <rPr>
        <sz val="11"/>
        <color theme="1"/>
        <rFont val="Calibri"/>
        <family val="2"/>
        <charset val="238"/>
        <scheme val="minor"/>
      </rPr>
      <t xml:space="preserve"> : Trei (3) frunze vizibile,</t>
    </r>
  </si>
  <si>
    <r>
      <rPr>
        <b/>
        <sz val="11"/>
        <color theme="1"/>
        <rFont val="Calibri"/>
        <family val="2"/>
        <scheme val="minor"/>
      </rPr>
      <t>BBCH 14</t>
    </r>
    <r>
      <rPr>
        <sz val="11"/>
        <color theme="1"/>
        <rFont val="Calibri"/>
        <family val="2"/>
        <charset val="238"/>
        <scheme val="minor"/>
      </rPr>
      <t xml:space="preserve"> : Patru (4) frunze vizibile,</t>
    </r>
  </si>
  <si>
    <r>
      <rPr>
        <b/>
        <sz val="11"/>
        <color theme="1"/>
        <rFont val="Calibri"/>
        <family val="2"/>
        <scheme val="minor"/>
      </rPr>
      <t>BBCH 15</t>
    </r>
    <r>
      <rPr>
        <sz val="11"/>
        <color theme="1"/>
        <rFont val="Calibri"/>
        <family val="2"/>
        <charset val="238"/>
        <scheme val="minor"/>
      </rPr>
      <t xml:space="preserve"> : Cinci (5) frunze vizibile</t>
    </r>
  </si>
  <si>
    <r>
      <rPr>
        <b/>
        <sz val="11"/>
        <color theme="1"/>
        <rFont val="Calibri"/>
        <family val="2"/>
        <scheme val="minor"/>
      </rPr>
      <t>BBCH 51</t>
    </r>
    <r>
      <rPr>
        <sz val="11"/>
        <color theme="1"/>
        <rFont val="Calibri"/>
        <family val="2"/>
        <charset val="238"/>
        <scheme val="minor"/>
      </rPr>
      <t xml:space="preserve"> : Inflorescente vizibile, 4-6 frunze vizibile</t>
    </r>
  </si>
  <si>
    <r>
      <rPr>
        <b/>
        <sz val="11"/>
        <color theme="1"/>
        <rFont val="Calibri"/>
        <family val="2"/>
        <scheme val="minor"/>
      </rPr>
      <t>BBCH 53</t>
    </r>
    <r>
      <rPr>
        <sz val="11"/>
        <color theme="1"/>
        <rFont val="Calibri"/>
        <family val="2"/>
        <charset val="238"/>
        <scheme val="minor"/>
      </rPr>
      <t xml:space="preserve"> : Inflorescentele s-au dezvoltat, dar butonii floriferi sunt încă compacți</t>
    </r>
  </si>
  <si>
    <r>
      <rPr>
        <b/>
        <sz val="11"/>
        <color theme="1"/>
        <rFont val="Calibri"/>
        <family val="2"/>
        <scheme val="minor"/>
      </rPr>
      <t>BBCH 55</t>
    </r>
    <r>
      <rPr>
        <sz val="11"/>
        <color theme="1"/>
        <rFont val="Calibri"/>
        <family val="2"/>
        <charset val="238"/>
        <scheme val="minor"/>
      </rPr>
      <t xml:space="preserve"> : Inflorescente bine dezvoltate, iar butonii floriferi sunt inca strans grupati</t>
    </r>
  </si>
  <si>
    <r>
      <rPr>
        <b/>
        <sz val="11"/>
        <color theme="1"/>
        <rFont val="Calibri"/>
        <family val="2"/>
        <scheme val="minor"/>
      </rPr>
      <t>BBCH 57</t>
    </r>
    <r>
      <rPr>
        <sz val="11"/>
        <color theme="1"/>
        <rFont val="Calibri"/>
        <family val="2"/>
        <charset val="238"/>
        <scheme val="minor"/>
      </rPr>
      <t xml:space="preserve"> : Inflorescente este complet dezvoltata, iar butonii florali sunt separati</t>
    </r>
  </si>
  <si>
    <r>
      <rPr>
        <b/>
        <sz val="11"/>
        <color theme="1"/>
        <rFont val="Calibri"/>
        <family val="2"/>
        <scheme val="minor"/>
      </rPr>
      <t>BBCH 60</t>
    </r>
    <r>
      <rPr>
        <sz val="11"/>
        <color theme="1"/>
        <rFont val="Calibri"/>
        <family val="2"/>
        <charset val="238"/>
        <scheme val="minor"/>
      </rPr>
      <t xml:space="preserve"> : Prima floare înflorește, petalele (corola „capișoanele”) primei flori se desprind de pe receptacul</t>
    </r>
  </si>
  <si>
    <r>
      <rPr>
        <b/>
        <sz val="11"/>
        <color theme="1"/>
        <rFont val="Calibri"/>
        <family val="2"/>
        <scheme val="minor"/>
      </rPr>
      <t>BBCH 61</t>
    </r>
    <r>
      <rPr>
        <sz val="11"/>
        <color theme="1"/>
        <rFont val="Calibri"/>
        <family val="2"/>
        <charset val="238"/>
        <scheme val="minor"/>
      </rPr>
      <t xml:space="preserve"> : Inceputul infloritului, 10 % din flori au corola „capișoanele” desprinsa</t>
    </r>
  </si>
  <si>
    <r>
      <rPr>
        <b/>
        <sz val="11"/>
        <color theme="1"/>
        <rFont val="Calibri"/>
        <family val="2"/>
        <scheme val="minor"/>
      </rPr>
      <t>BBCH 62</t>
    </r>
    <r>
      <rPr>
        <sz val="11"/>
        <color theme="1"/>
        <rFont val="Calibri"/>
        <family val="2"/>
        <charset val="238"/>
        <scheme val="minor"/>
      </rPr>
      <t xml:space="preserve"> : Infloritul, 20 % din flori au corola „capișoanele” desprinsa</t>
    </r>
  </si>
  <si>
    <r>
      <rPr>
        <b/>
        <sz val="11"/>
        <color theme="1"/>
        <rFont val="Calibri"/>
        <family val="2"/>
        <scheme val="minor"/>
      </rPr>
      <t>BBCH 63</t>
    </r>
    <r>
      <rPr>
        <sz val="11"/>
        <color theme="1"/>
        <rFont val="Calibri"/>
        <family val="2"/>
        <charset val="238"/>
        <scheme val="minor"/>
      </rPr>
      <t xml:space="preserve"> : Infloritul, 30 % din flori au corola „capișoanele” desprinsa</t>
    </r>
  </si>
  <si>
    <r>
      <rPr>
        <b/>
        <sz val="11"/>
        <color theme="1"/>
        <rFont val="Calibri"/>
        <family val="2"/>
        <scheme val="minor"/>
      </rPr>
      <t>BBCH 64</t>
    </r>
    <r>
      <rPr>
        <sz val="11"/>
        <color theme="1"/>
        <rFont val="Calibri"/>
        <family val="2"/>
        <charset val="238"/>
        <scheme val="minor"/>
      </rPr>
      <t xml:space="preserve"> : Infloritul, 40 % din flori au corola „capișoanele” desprinsa, iar unele sunt cazute si se observa cele 5 stamine libere</t>
    </r>
  </si>
  <si>
    <r>
      <rPr>
        <b/>
        <sz val="11"/>
        <color theme="1"/>
        <rFont val="Calibri"/>
        <family val="2"/>
        <scheme val="minor"/>
      </rPr>
      <t>BBCH 69</t>
    </r>
    <r>
      <rPr>
        <sz val="11"/>
        <color theme="1"/>
        <rFont val="Calibri"/>
        <family val="2"/>
        <charset val="238"/>
        <scheme val="minor"/>
      </rPr>
      <t xml:space="preserve"> : Sfarsitul infloritului, toate florile au corola „capișoanele” cazute si se observa cele 5 stamine libere</t>
    </r>
  </si>
  <si>
    <r>
      <rPr>
        <b/>
        <sz val="11"/>
        <color theme="1"/>
        <rFont val="Calibri"/>
        <family val="2"/>
        <scheme val="minor"/>
      </rPr>
      <t>BBCH 71</t>
    </r>
    <r>
      <rPr>
        <sz val="11"/>
        <color theme="1"/>
        <rFont val="Calibri"/>
        <family val="2"/>
        <charset val="238"/>
        <scheme val="minor"/>
      </rPr>
      <t xml:space="preserve"> : Inceputul dezvoltarii boabelor, ovarele incep sa creasca dupa fecundare, iar staminele se usuca si raman adesea prinse la punctul de conectare</t>
    </r>
  </si>
  <si>
    <r>
      <rPr>
        <b/>
        <sz val="11"/>
        <color theme="1"/>
        <rFont val="Calibri"/>
        <family val="2"/>
        <scheme val="minor"/>
      </rPr>
      <t>BBCH 73</t>
    </r>
    <r>
      <rPr>
        <sz val="11"/>
        <color theme="1"/>
        <rFont val="Calibri"/>
        <family val="2"/>
        <charset val="238"/>
        <scheme val="minor"/>
      </rPr>
      <t xml:space="preserve"> : Dezvoltarea boabelor, boabele se evidențiază bine in cadrul ciorchinelui</t>
    </r>
  </si>
  <si>
    <r>
      <rPr>
        <b/>
        <sz val="11"/>
        <color theme="1"/>
        <rFont val="Calibri"/>
        <family val="2"/>
        <scheme val="minor"/>
      </rPr>
      <t>BBCH 75</t>
    </r>
    <r>
      <rPr>
        <sz val="11"/>
        <color theme="1"/>
        <rFont val="Calibri"/>
        <family val="2"/>
        <charset val="238"/>
        <scheme val="minor"/>
      </rPr>
      <t xml:space="preserve"> : Boabele au forma/dimensiunea boabelor de mazare si au atins 50 % din dimensiunea finala</t>
    </r>
  </si>
  <si>
    <r>
      <rPr>
        <b/>
        <sz val="11"/>
        <color theme="1"/>
        <rFont val="Calibri"/>
        <family val="2"/>
        <scheme val="minor"/>
      </rPr>
      <t>BBCH 77</t>
    </r>
    <r>
      <rPr>
        <sz val="11"/>
        <color theme="1"/>
        <rFont val="Calibri"/>
        <family val="2"/>
        <charset val="238"/>
        <scheme val="minor"/>
      </rPr>
      <t xml:space="preserve"> : Compactarea ciorchinelui, boabele si-au marit dimensiunea (70 % din dimensiunea finala) si incep sa se atinga intre ele</t>
    </r>
  </si>
  <si>
    <r>
      <rPr>
        <b/>
        <sz val="11"/>
        <color theme="1"/>
        <rFont val="Calibri"/>
        <family val="2"/>
        <scheme val="minor"/>
      </rPr>
      <t>BBCH 79</t>
    </r>
    <r>
      <rPr>
        <sz val="11"/>
        <color theme="1"/>
        <rFont val="Calibri"/>
        <family val="2"/>
        <charset val="238"/>
        <scheme val="minor"/>
      </rPr>
      <t xml:space="preserve"> : Compactarea ciorchinelui, majoritatea boabelor se ating intre ele</t>
    </r>
  </si>
  <si>
    <r>
      <rPr>
        <b/>
        <sz val="11"/>
        <color theme="1"/>
        <rFont val="Calibri"/>
        <family val="2"/>
        <scheme val="minor"/>
      </rPr>
      <t>BBCH 81</t>
    </r>
    <r>
      <rPr>
        <sz val="11"/>
        <color theme="1"/>
        <rFont val="Calibri"/>
        <family val="2"/>
        <charset val="238"/>
        <scheme val="minor"/>
      </rPr>
      <t xml:space="preserve"> : Inceputul coacerii boabelor – la soiurile cu pielita colorata, aceasta incepe sa isi schimbe culoarea iar compactarea boabelor creste,</t>
    </r>
  </si>
  <si>
    <r>
      <rPr>
        <b/>
        <sz val="11"/>
        <color theme="1"/>
        <rFont val="Calibri"/>
        <family val="2"/>
        <scheme val="minor"/>
      </rPr>
      <t>BBCH 83</t>
    </r>
    <r>
      <rPr>
        <sz val="11"/>
        <color theme="1"/>
        <rFont val="Calibri"/>
        <family val="2"/>
        <charset val="238"/>
        <scheme val="minor"/>
      </rPr>
      <t xml:space="preserve"> : Numarul boabelor colorate creste</t>
    </r>
  </si>
  <si>
    <r>
      <rPr>
        <b/>
        <sz val="11"/>
        <color theme="1"/>
        <rFont val="Calibri"/>
        <family val="2"/>
        <scheme val="minor"/>
      </rPr>
      <t>BBCH 85</t>
    </r>
    <r>
      <rPr>
        <sz val="11"/>
        <color theme="1"/>
        <rFont val="Calibri"/>
        <family val="2"/>
        <charset val="238"/>
        <scheme val="minor"/>
      </rPr>
      <t xml:space="preserve"> : Struguri in parga, la soiurile albe boabele devin translucide, iar la cele cu pielita colorata – boabele s-au colorat aproape in totalitate. Boabele se simt moi la atingere</t>
    </r>
  </si>
  <si>
    <r>
      <rPr>
        <b/>
        <sz val="11"/>
        <color theme="1"/>
        <rFont val="Calibri"/>
        <family val="2"/>
        <scheme val="minor"/>
      </rPr>
      <t>BBCH 89</t>
    </r>
    <r>
      <rPr>
        <sz val="11"/>
        <color theme="1"/>
        <rFont val="Calibri"/>
        <family val="2"/>
        <charset val="238"/>
        <scheme val="minor"/>
      </rPr>
      <t xml:space="preserve"> : Strugurii sunt buni pentru a fi recoltati. Boabele au atins performantele specifice soiului pentru a putea recolta strugurii</t>
    </r>
  </si>
  <si>
    <r>
      <rPr>
        <b/>
        <sz val="11"/>
        <color theme="1"/>
        <rFont val="Calibri"/>
        <family val="2"/>
        <scheme val="minor"/>
      </rPr>
      <t>BBCH 91</t>
    </r>
    <r>
      <rPr>
        <sz val="11"/>
        <color theme="1"/>
        <rFont val="Calibri"/>
        <family val="2"/>
        <charset val="238"/>
        <scheme val="minor"/>
      </rPr>
      <t xml:space="preserve"> : Maturarea lemnului lastarilor vitei de vie</t>
    </r>
  </si>
  <si>
    <r>
      <rPr>
        <b/>
        <sz val="11"/>
        <color theme="1"/>
        <rFont val="Calibri"/>
        <family val="2"/>
        <scheme val="minor"/>
      </rPr>
      <t>BBCH 92</t>
    </r>
    <r>
      <rPr>
        <sz val="11"/>
        <color theme="1"/>
        <rFont val="Calibri"/>
        <family val="2"/>
        <charset val="238"/>
        <scheme val="minor"/>
      </rPr>
      <t xml:space="preserve"> : Inceputul ingalbenirii (decolorarii) frunzelor</t>
    </r>
  </si>
  <si>
    <r>
      <rPr>
        <b/>
        <sz val="11"/>
        <color theme="1"/>
        <rFont val="Calibri"/>
        <family val="2"/>
        <scheme val="minor"/>
      </rPr>
      <t>BBCH 93</t>
    </r>
    <r>
      <rPr>
        <sz val="11"/>
        <color theme="1"/>
        <rFont val="Calibri"/>
        <family val="2"/>
        <charset val="238"/>
        <scheme val="minor"/>
      </rPr>
      <t xml:space="preserve"> : Inceputul caderii frunzelor</t>
    </r>
  </si>
  <si>
    <r>
      <rPr>
        <b/>
        <sz val="11"/>
        <color theme="1"/>
        <rFont val="Calibri"/>
        <family val="2"/>
        <scheme val="minor"/>
      </rPr>
      <t>BBCH 95-97</t>
    </r>
    <r>
      <rPr>
        <sz val="11"/>
        <color theme="1"/>
        <rFont val="Calibri"/>
        <family val="2"/>
        <charset val="238"/>
        <scheme val="minor"/>
      </rPr>
      <t xml:space="preserve"> : Frunzele au cazut peste 50 % – Incheierea caderii frunzelor</t>
    </r>
  </si>
  <si>
    <t>Astra</t>
  </si>
  <si>
    <t>Amurg</t>
  </si>
  <si>
    <t>Blasius</t>
  </si>
  <si>
    <t>Brumăriu</t>
  </si>
  <si>
    <t>Radames</t>
  </si>
  <si>
    <t>Rubin</t>
  </si>
  <si>
    <t>Selena</t>
  </si>
  <si>
    <t>Roze Blaj</t>
  </si>
  <si>
    <t>Riesling italian 15Bl</t>
  </si>
  <si>
    <t>media</t>
  </si>
  <si>
    <t>&gt;25 in &gt;0.5</t>
  </si>
  <si>
    <t>&gt;25 in &gt;1.0</t>
  </si>
  <si>
    <t>dezmugurit</t>
  </si>
  <si>
    <t>înfrunzit</t>
  </si>
  <si>
    <r>
      <t xml:space="preserve">BBCH 00 : </t>
    </r>
    <r>
      <rPr>
        <sz val="11"/>
        <color theme="4" tint="-0.499984740745262"/>
        <rFont val="Calibri"/>
        <family val="2"/>
        <scheme val="minor"/>
      </rPr>
      <t>repaus vegetativ</t>
    </r>
  </si>
  <si>
    <r>
      <rPr>
        <b/>
        <sz val="11"/>
        <color theme="4" tint="-0.499984740745262"/>
        <rFont val="Calibri"/>
        <family val="2"/>
        <scheme val="minor"/>
      </rPr>
      <t>BBCH 01</t>
    </r>
    <r>
      <rPr>
        <sz val="11"/>
        <color theme="4" tint="-0.499984740745262"/>
        <rFont val="Calibri"/>
        <family val="2"/>
        <scheme val="minor"/>
      </rPr>
      <t xml:space="preserve"> : plâns</t>
    </r>
  </si>
  <si>
    <r>
      <rPr>
        <b/>
        <sz val="11"/>
        <color theme="4" tint="-0.499984740745262"/>
        <rFont val="Calibri"/>
        <family val="2"/>
        <scheme val="minor"/>
      </rPr>
      <t>BBCH &gt; 05</t>
    </r>
    <r>
      <rPr>
        <sz val="11"/>
        <color theme="4" tint="-0.499984740745262"/>
        <rFont val="Calibri"/>
        <family val="2"/>
        <scheme val="minor"/>
      </rPr>
      <t xml:space="preserve"> : dezmugurit</t>
    </r>
  </si>
  <si>
    <r>
      <rPr>
        <b/>
        <sz val="11"/>
        <color theme="4" tint="-0.499984740745262"/>
        <rFont val="Calibri"/>
        <family val="2"/>
        <scheme val="minor"/>
      </rPr>
      <t>BBCH&gt;1.0</t>
    </r>
    <r>
      <rPr>
        <sz val="11"/>
        <color theme="4" tint="-0.499984740745262"/>
        <rFont val="Calibri"/>
        <family val="2"/>
        <scheme val="minor"/>
      </rPr>
      <t xml:space="preserve">  frunze</t>
    </r>
  </si>
  <si>
    <r>
      <rPr>
        <b/>
        <sz val="11"/>
        <color rgb="FFC00000"/>
        <rFont val="Calibri"/>
        <family val="2"/>
        <scheme val="minor"/>
      </rPr>
      <t>BBCH 05</t>
    </r>
    <r>
      <rPr>
        <sz val="11"/>
        <color rgb="FFC00000"/>
        <rFont val="Calibri"/>
        <family val="2"/>
        <scheme val="minor"/>
      </rPr>
      <t xml:space="preserve"> : lână</t>
    </r>
  </si>
  <si>
    <r>
      <rPr>
        <b/>
        <sz val="11"/>
        <color rgb="FFC00000"/>
        <rFont val="Calibri"/>
        <family val="2"/>
        <scheme val="minor"/>
      </rPr>
      <t>BBCH 07</t>
    </r>
    <r>
      <rPr>
        <sz val="11"/>
        <color rgb="FFC00000"/>
        <rFont val="Calibri"/>
        <family val="2"/>
        <scheme val="minor"/>
      </rPr>
      <t xml:space="preserve"> : spargerea mugurilor </t>
    </r>
  </si>
  <si>
    <r>
      <rPr>
        <b/>
        <sz val="11"/>
        <color rgb="FFC00000"/>
        <rFont val="Calibri"/>
        <family val="2"/>
        <scheme val="minor"/>
      </rPr>
      <t>BBCH 08-09</t>
    </r>
    <r>
      <rPr>
        <sz val="11"/>
        <color rgb="FFC00000"/>
        <rFont val="Calibri"/>
        <family val="2"/>
        <scheme val="minor"/>
      </rPr>
      <t xml:space="preserve"> : primordii verzi</t>
    </r>
  </si>
  <si>
    <r>
      <rPr>
        <b/>
        <sz val="11"/>
        <color rgb="FFC00000"/>
        <rFont val="Calibri"/>
        <family val="2"/>
        <scheme val="minor"/>
      </rPr>
      <t>BBCH 10</t>
    </r>
    <r>
      <rPr>
        <sz val="11"/>
        <color rgb="FFC00000"/>
        <rFont val="Calibri"/>
        <family val="2"/>
        <scheme val="minor"/>
      </rPr>
      <t xml:space="preserve"> :  rozetă</t>
    </r>
  </si>
  <si>
    <r>
      <rPr>
        <b/>
        <sz val="11"/>
        <color rgb="FFC00000"/>
        <rFont val="Calibri"/>
        <family val="2"/>
        <scheme val="minor"/>
      </rPr>
      <t>BBCH 11</t>
    </r>
    <r>
      <rPr>
        <sz val="11"/>
        <color rgb="FFC00000"/>
        <rFont val="Calibri"/>
        <family val="2"/>
        <scheme val="minor"/>
      </rPr>
      <t xml:space="preserve"> : Prima frunză</t>
    </r>
  </si>
  <si>
    <r>
      <rPr>
        <b/>
        <sz val="11"/>
        <color rgb="FFC00000"/>
        <rFont val="Calibri"/>
        <family val="2"/>
        <scheme val="minor"/>
      </rPr>
      <t>BBCH 12</t>
    </r>
    <r>
      <rPr>
        <sz val="11"/>
        <color rgb="FFC00000"/>
        <rFont val="Calibri"/>
        <family val="2"/>
        <scheme val="minor"/>
      </rPr>
      <t xml:space="preserve"> : Două (2) frunze </t>
    </r>
  </si>
  <si>
    <r>
      <rPr>
        <b/>
        <sz val="11"/>
        <color rgb="FFC00000"/>
        <rFont val="Calibri"/>
        <family val="2"/>
        <scheme val="minor"/>
      </rPr>
      <t>BBCH 13</t>
    </r>
    <r>
      <rPr>
        <sz val="11"/>
        <color rgb="FFC00000"/>
        <rFont val="Calibri"/>
        <family val="2"/>
        <scheme val="minor"/>
      </rPr>
      <t xml:space="preserve"> : Trei (3) frunze</t>
    </r>
  </si>
  <si>
    <r>
      <rPr>
        <b/>
        <sz val="11"/>
        <color rgb="FFC00000"/>
        <rFont val="Calibri"/>
        <family val="2"/>
        <scheme val="minor"/>
      </rPr>
      <t>BBCH 14</t>
    </r>
    <r>
      <rPr>
        <sz val="11"/>
        <color rgb="FFC00000"/>
        <rFont val="Calibri"/>
        <family val="2"/>
        <scheme val="minor"/>
      </rPr>
      <t xml:space="preserve"> : Patru (4) frunze </t>
    </r>
  </si>
  <si>
    <r>
      <rPr>
        <b/>
        <sz val="11"/>
        <color rgb="FFC00000"/>
        <rFont val="Calibri"/>
        <family val="2"/>
        <scheme val="minor"/>
      </rPr>
      <t>BBCH 15</t>
    </r>
    <r>
      <rPr>
        <sz val="11"/>
        <color rgb="FFC00000"/>
        <rFont val="Calibri"/>
        <family val="2"/>
        <scheme val="minor"/>
      </rPr>
      <t xml:space="preserve"> : Cinci (5) frunze </t>
    </r>
  </si>
  <si>
    <r>
      <rPr>
        <b/>
        <sz val="11"/>
        <color rgb="FFC00000"/>
        <rFont val="Calibri"/>
        <family val="2"/>
        <scheme val="minor"/>
      </rPr>
      <t>BBCH 51</t>
    </r>
    <r>
      <rPr>
        <sz val="11"/>
        <color rgb="FFC00000"/>
        <rFont val="Calibri"/>
        <family val="2"/>
        <scheme val="minor"/>
      </rPr>
      <t xml:space="preserve"> : primele inflorescențe + 4-6 frunze </t>
    </r>
  </si>
  <si>
    <r>
      <rPr>
        <b/>
        <sz val="11"/>
        <color rgb="FFC00000"/>
        <rFont val="Calibri"/>
        <family val="2"/>
        <scheme val="minor"/>
      </rPr>
      <t>BBCH 53</t>
    </r>
    <r>
      <rPr>
        <sz val="11"/>
        <color rgb="FFC00000"/>
        <rFont val="Calibri"/>
        <family val="2"/>
        <scheme val="minor"/>
      </rPr>
      <t xml:space="preserve"> : butoni compacți</t>
    </r>
  </si>
  <si>
    <r>
      <rPr>
        <b/>
        <sz val="11"/>
        <color rgb="FFC00000"/>
        <rFont val="Calibri"/>
        <family val="2"/>
        <scheme val="minor"/>
      </rPr>
      <t>BBCH 55</t>
    </r>
    <r>
      <rPr>
        <sz val="11"/>
        <color rgb="FFC00000"/>
        <rFont val="Calibri"/>
        <family val="2"/>
        <scheme val="minor"/>
      </rPr>
      <t xml:space="preserve"> : butoni grupați</t>
    </r>
  </si>
  <si>
    <r>
      <rPr>
        <b/>
        <sz val="11"/>
        <color rgb="FFC00000"/>
        <rFont val="Calibri"/>
        <family val="2"/>
        <scheme val="minor"/>
      </rPr>
      <t>BBCH 57</t>
    </r>
    <r>
      <rPr>
        <sz val="11"/>
        <color rgb="FFC00000"/>
        <rFont val="Calibri"/>
        <family val="2"/>
        <scheme val="minor"/>
      </rPr>
      <t xml:space="preserve"> :  butoni separați</t>
    </r>
  </si>
  <si>
    <r>
      <rPr>
        <b/>
        <sz val="11"/>
        <color rgb="FFC00000"/>
        <rFont val="Calibri"/>
        <family val="2"/>
        <scheme val="minor"/>
      </rPr>
      <t>BBCH 60</t>
    </r>
    <r>
      <rPr>
        <sz val="11"/>
        <color rgb="FFC00000"/>
        <rFont val="Calibri"/>
        <family val="2"/>
        <scheme val="minor"/>
      </rPr>
      <t xml:space="preserve"> : Prima floare înflorită</t>
    </r>
  </si>
  <si>
    <r>
      <rPr>
        <b/>
        <sz val="11"/>
        <color rgb="FFC00000"/>
        <rFont val="Calibri"/>
        <family val="2"/>
        <scheme val="minor"/>
      </rPr>
      <t>BBCH 61</t>
    </r>
    <r>
      <rPr>
        <sz val="11"/>
        <color rgb="FFC00000"/>
        <rFont val="Calibri"/>
        <family val="2"/>
        <scheme val="minor"/>
      </rPr>
      <t xml:space="preserve"> :  10 % flori cu corola desprinsă</t>
    </r>
  </si>
  <si>
    <r>
      <rPr>
        <b/>
        <sz val="11"/>
        <color rgb="FFC00000"/>
        <rFont val="Calibri"/>
        <family val="2"/>
        <scheme val="minor"/>
      </rPr>
      <t>BBCH 62</t>
    </r>
    <r>
      <rPr>
        <sz val="11"/>
        <color rgb="FFC00000"/>
        <rFont val="Calibri"/>
        <family val="2"/>
        <scheme val="minor"/>
      </rPr>
      <t xml:space="preserve"> : 20 % flori cu corola desprinsă</t>
    </r>
  </si>
  <si>
    <r>
      <rPr>
        <b/>
        <sz val="11"/>
        <color rgb="FFC00000"/>
        <rFont val="Calibri"/>
        <family val="2"/>
        <scheme val="minor"/>
      </rPr>
      <t>BBCH 63</t>
    </r>
    <r>
      <rPr>
        <sz val="11"/>
        <color rgb="FFC00000"/>
        <rFont val="Calibri"/>
        <family val="2"/>
        <scheme val="minor"/>
      </rPr>
      <t xml:space="preserve"> : 30 % flori cu corola desprinsă</t>
    </r>
  </si>
  <si>
    <r>
      <rPr>
        <b/>
        <sz val="11"/>
        <color rgb="FFC00000"/>
        <rFont val="Calibri"/>
        <family val="2"/>
        <scheme val="minor"/>
      </rPr>
      <t>BBCH 64</t>
    </r>
    <r>
      <rPr>
        <sz val="11"/>
        <color rgb="FFC00000"/>
        <rFont val="Calibri"/>
        <family val="2"/>
        <scheme val="minor"/>
      </rPr>
      <t xml:space="preserve"> : 40 % flori + stamine libere</t>
    </r>
  </si>
  <si>
    <r>
      <rPr>
        <b/>
        <sz val="11"/>
        <color rgb="FFC00000"/>
        <rFont val="Calibri"/>
        <family val="2"/>
        <scheme val="minor"/>
      </rPr>
      <t>BBCH 69</t>
    </r>
    <r>
      <rPr>
        <sz val="11"/>
        <color rgb="FFC00000"/>
        <rFont val="Calibri"/>
        <family val="2"/>
        <scheme val="minor"/>
      </rPr>
      <t xml:space="preserve"> : toate staminele libere</t>
    </r>
  </si>
  <si>
    <r>
      <rPr>
        <b/>
        <sz val="11"/>
        <color rgb="FFC00000"/>
        <rFont val="Calibri"/>
        <family val="2"/>
        <scheme val="minor"/>
      </rPr>
      <t>BBCH 71</t>
    </r>
    <r>
      <rPr>
        <sz val="11"/>
        <color rgb="FFC00000"/>
        <rFont val="Calibri"/>
        <family val="2"/>
        <scheme val="minor"/>
      </rPr>
      <t xml:space="preserve"> : dezvoltare boabe</t>
    </r>
  </si>
  <si>
    <r>
      <rPr>
        <b/>
        <sz val="11"/>
        <color rgb="FFC00000"/>
        <rFont val="Calibri"/>
        <family val="2"/>
        <scheme val="minor"/>
      </rPr>
      <t>BBCH 73</t>
    </r>
    <r>
      <rPr>
        <sz val="11"/>
        <color rgb="FFC00000"/>
        <rFont val="Calibri"/>
        <family val="2"/>
        <scheme val="minor"/>
      </rPr>
      <t xml:space="preserve"> : dezvoltare ciorchine</t>
    </r>
  </si>
  <si>
    <r>
      <rPr>
        <b/>
        <sz val="11"/>
        <color rgb="FFC00000"/>
        <rFont val="Calibri"/>
        <family val="2"/>
        <scheme val="minor"/>
      </rPr>
      <t>BBCH 75</t>
    </r>
    <r>
      <rPr>
        <sz val="11"/>
        <color rgb="FFC00000"/>
        <rFont val="Calibri"/>
        <family val="2"/>
        <scheme val="minor"/>
      </rPr>
      <t xml:space="preserve"> : boabe de mazare </t>
    </r>
  </si>
  <si>
    <r>
      <rPr>
        <b/>
        <sz val="11"/>
        <color rgb="FFC00000"/>
        <rFont val="Calibri"/>
        <family val="2"/>
        <scheme val="minor"/>
      </rPr>
      <t>BBCH 77</t>
    </r>
    <r>
      <rPr>
        <sz val="11"/>
        <color rgb="FFC00000"/>
        <rFont val="Calibri"/>
        <family val="2"/>
        <scheme val="minor"/>
      </rPr>
      <t xml:space="preserve"> : compactare ciorchine</t>
    </r>
  </si>
  <si>
    <r>
      <rPr>
        <b/>
        <sz val="11"/>
        <color rgb="FFC00000"/>
        <rFont val="Calibri"/>
        <family val="2"/>
        <scheme val="minor"/>
      </rPr>
      <t>BBCH 79</t>
    </r>
    <r>
      <rPr>
        <sz val="11"/>
        <color rgb="FFC00000"/>
        <rFont val="Calibri"/>
        <family val="2"/>
        <scheme val="minor"/>
      </rPr>
      <t xml:space="preserve"> : majoritatea boabelor se ating intre ele</t>
    </r>
  </si>
  <si>
    <r>
      <rPr>
        <b/>
        <sz val="11"/>
        <color rgb="FFC00000"/>
        <rFont val="Calibri"/>
        <family val="2"/>
        <scheme val="minor"/>
      </rPr>
      <t>BBCH 81</t>
    </r>
    <r>
      <rPr>
        <sz val="11"/>
        <color rgb="FFC00000"/>
        <rFont val="Calibri"/>
        <family val="2"/>
        <scheme val="minor"/>
      </rPr>
      <t xml:space="preserve"> : pârgă- culoare + compactare</t>
    </r>
  </si>
  <si>
    <r>
      <rPr>
        <b/>
        <sz val="11"/>
        <color rgb="FFC00000"/>
        <rFont val="Calibri"/>
        <family val="2"/>
        <scheme val="minor"/>
      </rPr>
      <t>BBCH 83</t>
    </r>
    <r>
      <rPr>
        <sz val="11"/>
        <color rgb="FFC00000"/>
        <rFont val="Calibri"/>
        <family val="2"/>
        <scheme val="minor"/>
      </rPr>
      <t xml:space="preserve"> : boabe colorate </t>
    </r>
  </si>
  <si>
    <r>
      <rPr>
        <b/>
        <sz val="11"/>
        <color rgb="FFC00000"/>
        <rFont val="Calibri"/>
        <family val="2"/>
        <scheme val="minor"/>
      </rPr>
      <t>BBCH 85</t>
    </r>
    <r>
      <rPr>
        <sz val="11"/>
        <color rgb="FFC00000"/>
        <rFont val="Calibri"/>
        <family val="2"/>
        <scheme val="minor"/>
      </rPr>
      <t xml:space="preserve"> :  boabe colorate moi</t>
    </r>
  </si>
  <si>
    <r>
      <rPr>
        <b/>
        <sz val="11"/>
        <color rgb="FFC00000"/>
        <rFont val="Calibri"/>
        <family val="2"/>
        <scheme val="minor"/>
      </rPr>
      <t>BBCH 89</t>
    </r>
    <r>
      <rPr>
        <sz val="11"/>
        <color rgb="FFC00000"/>
        <rFont val="Calibri"/>
        <family val="2"/>
        <scheme val="minor"/>
      </rPr>
      <t xml:space="preserve"> : recoltare struguri</t>
    </r>
  </si>
  <si>
    <r>
      <rPr>
        <b/>
        <sz val="11"/>
        <color rgb="FFC00000"/>
        <rFont val="Calibri"/>
        <family val="2"/>
        <scheme val="minor"/>
      </rPr>
      <t>BBCH 91</t>
    </r>
    <r>
      <rPr>
        <sz val="11"/>
        <color rgb="FFC00000"/>
        <rFont val="Calibri"/>
        <family val="2"/>
        <scheme val="minor"/>
      </rPr>
      <t xml:space="preserve"> : maturare lemn</t>
    </r>
  </si>
  <si>
    <r>
      <rPr>
        <b/>
        <sz val="11"/>
        <color rgb="FFC00000"/>
        <rFont val="Calibri"/>
        <family val="2"/>
        <scheme val="minor"/>
      </rPr>
      <t>BBCH 92</t>
    </r>
    <r>
      <rPr>
        <sz val="11"/>
        <color rgb="FFC00000"/>
        <rFont val="Calibri"/>
        <family val="2"/>
        <scheme val="minor"/>
      </rPr>
      <t xml:space="preserve"> : decolorare frunze</t>
    </r>
  </si>
  <si>
    <r>
      <rPr>
        <b/>
        <sz val="11"/>
        <color rgb="FFC00000"/>
        <rFont val="Calibri"/>
        <family val="2"/>
        <scheme val="minor"/>
      </rPr>
      <t>BBCH 93</t>
    </r>
    <r>
      <rPr>
        <sz val="11"/>
        <color rgb="FFC00000"/>
        <rFont val="Calibri"/>
        <family val="2"/>
        <scheme val="minor"/>
      </rPr>
      <t xml:space="preserve"> : începutul căderii frunzelor</t>
    </r>
  </si>
  <si>
    <r>
      <rPr>
        <b/>
        <sz val="11"/>
        <color rgb="FFC00000"/>
        <rFont val="Calibri"/>
        <family val="2"/>
        <scheme val="minor"/>
      </rPr>
      <t>BBCH 95-97</t>
    </r>
    <r>
      <rPr>
        <sz val="11"/>
        <color rgb="FFC00000"/>
        <rFont val="Calibri"/>
        <family val="2"/>
        <scheme val="minor"/>
      </rPr>
      <t xml:space="preserve"> :  peste 50 % frunze căzute</t>
    </r>
  </si>
  <si>
    <t>Syrah</t>
  </si>
  <si>
    <t>&gt;25 in [1;5)</t>
  </si>
  <si>
    <t>&gt;25 in[5;6)</t>
  </si>
  <si>
    <t>&gt;25 in [5;6)</t>
  </si>
  <si>
    <t>&gt;25 in [6;6.3]</t>
  </si>
  <si>
    <t>Înfrunzit</t>
  </si>
  <si>
    <t>Înflorit</t>
  </si>
  <si>
    <t>Apariția florilor</t>
  </si>
  <si>
    <t>Apariția  florilor</t>
  </si>
  <si>
    <t>Apariția inflorescențelor</t>
  </si>
  <si>
    <t>&gt;25 in [50;70)</t>
  </si>
  <si>
    <t>&gt;25 in [70;75]</t>
  </si>
  <si>
    <t>Dezvoltarea fructelor</t>
  </si>
  <si>
    <t>&gt;25 in [7;77)</t>
  </si>
  <si>
    <t>&gt;25 in [77;79]</t>
  </si>
  <si>
    <t>Compactare</t>
  </si>
  <si>
    <t>&gt;25 in [80;85]</t>
  </si>
  <si>
    <t>&gt;25 in [70;80)</t>
  </si>
  <si>
    <t>Intrare în pîrgă</t>
  </si>
  <si>
    <t>&gt;25 in [0.5;0.9]</t>
  </si>
  <si>
    <t>BBCH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</si>
</sst>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charset val="238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charset val="238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1"/>
      <color rgb="FF7030A0"/>
      <name val="Calibri"/>
      <family val="2"/>
      <charset val="238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5" fillId="0" borderId="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/>
    <xf numFmtId="0" fontId="3" fillId="0" borderId="14" xfId="0" applyFont="1" applyBorder="1" applyAlignment="1">
      <alignment horizontal="center" vertical="center"/>
    </xf>
    <xf numFmtId="0" fontId="0" fillId="0" borderId="13" xfId="0" applyBorder="1"/>
    <xf numFmtId="164" fontId="0" fillId="0" borderId="6" xfId="0" applyNumberFormat="1" applyBorder="1"/>
    <xf numFmtId="164" fontId="0" fillId="0" borderId="15" xfId="0" applyNumberFormat="1" applyBorder="1"/>
    <xf numFmtId="164" fontId="0" fillId="0" borderId="7" xfId="0" applyNumberFormat="1" applyBorder="1"/>
    <xf numFmtId="164" fontId="0" fillId="0" borderId="13" xfId="0" applyNumberFormat="1" applyBorder="1"/>
    <xf numFmtId="164" fontId="0" fillId="0" borderId="1" xfId="0" applyNumberFormat="1" applyBorder="1"/>
    <xf numFmtId="164" fontId="0" fillId="0" borderId="16" xfId="0" applyNumberFormat="1" applyBorder="1"/>
    <xf numFmtId="164" fontId="0" fillId="0" borderId="9" xfId="0" applyNumberFormat="1" applyBorder="1"/>
    <xf numFmtId="164" fontId="0" fillId="0" borderId="0" xfId="0" applyNumberFormat="1"/>
    <xf numFmtId="164" fontId="0" fillId="0" borderId="11" xfId="0" applyNumberFormat="1" applyBorder="1"/>
    <xf numFmtId="164" fontId="0" fillId="0" borderId="17" xfId="0" applyNumberFormat="1" applyBorder="1"/>
    <xf numFmtId="164" fontId="0" fillId="0" borderId="12" xfId="0" applyNumberFormat="1" applyBorder="1"/>
    <xf numFmtId="164" fontId="0" fillId="0" borderId="20" xfId="0" applyNumberFormat="1" applyBorder="1"/>
    <xf numFmtId="164" fontId="7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4" fillId="0" borderId="1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0" fontId="15" fillId="0" borderId="0" xfId="0" applyFont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0" fontId="14" fillId="0" borderId="3" xfId="0" applyFont="1" applyBorder="1" applyAlignment="1">
      <alignment horizontal="center" vertical="center"/>
    </xf>
    <xf numFmtId="164" fontId="0" fillId="0" borderId="19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1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38" xfId="0" applyNumberFormat="1" applyBorder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/>
    <xf numFmtId="164" fontId="6" fillId="0" borderId="0" xfId="0" applyNumberFormat="1" applyFont="1" applyAlignment="1">
      <alignment horizontal="center"/>
    </xf>
    <xf numFmtId="0" fontId="6" fillId="0" borderId="39" xfId="0" applyFont="1" applyBorder="1"/>
    <xf numFmtId="0" fontId="12" fillId="0" borderId="39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6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32" workbookViewId="0">
      <selection activeCell="A3" sqref="A3:B38"/>
    </sheetView>
  </sheetViews>
  <sheetFormatPr defaultRowHeight="15" x14ac:dyDescent="0.25"/>
  <cols>
    <col min="1" max="1" width="21.42578125" style="1" customWidth="1"/>
    <col min="2" max="2" width="32.85546875" style="2" customWidth="1"/>
    <col min="3" max="3" width="25.5703125" customWidth="1"/>
  </cols>
  <sheetData>
    <row r="1" spans="1:9" x14ac:dyDescent="0.25">
      <c r="C1" s="5"/>
      <c r="D1" s="5"/>
      <c r="E1" s="5"/>
      <c r="F1" s="5"/>
      <c r="G1" s="5"/>
      <c r="H1" s="5"/>
      <c r="I1" s="5"/>
    </row>
    <row r="2" spans="1:9" x14ac:dyDescent="0.25">
      <c r="C2" s="3"/>
      <c r="D2" s="3"/>
      <c r="E2" s="3"/>
      <c r="F2" s="3"/>
      <c r="G2" s="3"/>
      <c r="H2" s="3"/>
      <c r="I2" s="3"/>
    </row>
    <row r="3" spans="1:9" x14ac:dyDescent="0.25">
      <c r="A3" s="104" t="s">
        <v>3</v>
      </c>
      <c r="B3" s="4" t="s">
        <v>7</v>
      </c>
    </row>
    <row r="4" spans="1:9" ht="45" x14ac:dyDescent="0.25">
      <c r="A4" s="104"/>
      <c r="B4" s="4" t="s">
        <v>8</v>
      </c>
    </row>
    <row r="5" spans="1:9" ht="45" x14ac:dyDescent="0.25">
      <c r="A5" s="104"/>
      <c r="B5" s="4" t="s">
        <v>9</v>
      </c>
    </row>
    <row r="6" spans="1:9" ht="45" x14ac:dyDescent="0.25">
      <c r="A6" s="104"/>
      <c r="B6" s="4" t="s">
        <v>10</v>
      </c>
    </row>
    <row r="7" spans="1:9" ht="60" x14ac:dyDescent="0.25">
      <c r="A7" s="104"/>
      <c r="B7" s="4" t="s">
        <v>11</v>
      </c>
    </row>
    <row r="8" spans="1:9" ht="45" x14ac:dyDescent="0.25">
      <c r="A8" s="104"/>
      <c r="B8" s="4" t="s">
        <v>12</v>
      </c>
    </row>
    <row r="9" spans="1:9" ht="60" x14ac:dyDescent="0.25">
      <c r="A9" s="104"/>
      <c r="B9" s="4" t="s">
        <v>13</v>
      </c>
    </row>
    <row r="10" spans="1:9" ht="30" x14ac:dyDescent="0.25">
      <c r="A10" s="104" t="s">
        <v>0</v>
      </c>
      <c r="B10" s="4" t="s">
        <v>14</v>
      </c>
    </row>
    <row r="11" spans="1:9" x14ac:dyDescent="0.25">
      <c r="A11" s="104"/>
      <c r="B11" s="4" t="s">
        <v>15</v>
      </c>
    </row>
    <row r="12" spans="1:9" x14ac:dyDescent="0.25">
      <c r="A12" s="104"/>
      <c r="B12" s="4" t="s">
        <v>16</v>
      </c>
    </row>
    <row r="13" spans="1:9" x14ac:dyDescent="0.25">
      <c r="A13" s="104"/>
      <c r="B13" s="4" t="s">
        <v>17</v>
      </c>
    </row>
    <row r="14" spans="1:9" x14ac:dyDescent="0.25">
      <c r="A14" s="104"/>
      <c r="B14" s="4" t="s">
        <v>18</v>
      </c>
    </row>
    <row r="15" spans="1:9" x14ac:dyDescent="0.25">
      <c r="A15" s="104"/>
      <c r="B15" s="4" t="s">
        <v>19</v>
      </c>
    </row>
    <row r="16" spans="1:9" ht="30" x14ac:dyDescent="0.25">
      <c r="A16" s="104" t="s">
        <v>1</v>
      </c>
      <c r="B16" s="4" t="s">
        <v>20</v>
      </c>
    </row>
    <row r="17" spans="1:2" ht="45" x14ac:dyDescent="0.25">
      <c r="A17" s="104"/>
      <c r="B17" s="4" t="s">
        <v>21</v>
      </c>
    </row>
    <row r="18" spans="1:2" ht="45" x14ac:dyDescent="0.25">
      <c r="A18" s="104"/>
      <c r="B18" s="4" t="s">
        <v>22</v>
      </c>
    </row>
    <row r="19" spans="1:2" ht="45" x14ac:dyDescent="0.25">
      <c r="A19" s="104"/>
      <c r="B19" s="4" t="s">
        <v>23</v>
      </c>
    </row>
    <row r="20" spans="1:2" ht="60" x14ac:dyDescent="0.25">
      <c r="A20" s="105" t="s">
        <v>2</v>
      </c>
      <c r="B20" s="4" t="s">
        <v>24</v>
      </c>
    </row>
    <row r="21" spans="1:2" ht="45" x14ac:dyDescent="0.25">
      <c r="A21" s="105"/>
      <c r="B21" s="4" t="s">
        <v>25</v>
      </c>
    </row>
    <row r="22" spans="1:2" ht="30" x14ac:dyDescent="0.25">
      <c r="A22" s="105"/>
      <c r="B22" s="4" t="s">
        <v>26</v>
      </c>
    </row>
    <row r="23" spans="1:2" ht="30" x14ac:dyDescent="0.25">
      <c r="A23" s="105"/>
      <c r="B23" s="4" t="s">
        <v>27</v>
      </c>
    </row>
    <row r="24" spans="1:2" ht="60" x14ac:dyDescent="0.25">
      <c r="A24" s="105"/>
      <c r="B24" s="4" t="s">
        <v>28</v>
      </c>
    </row>
    <row r="25" spans="1:2" ht="60" x14ac:dyDescent="0.25">
      <c r="A25" s="105"/>
      <c r="B25" s="4" t="s">
        <v>29</v>
      </c>
    </row>
    <row r="26" spans="1:2" ht="75" x14ac:dyDescent="0.25">
      <c r="A26" s="104" t="s">
        <v>4</v>
      </c>
      <c r="B26" s="4" t="s">
        <v>30</v>
      </c>
    </row>
    <row r="27" spans="1:2" ht="45" x14ac:dyDescent="0.25">
      <c r="A27" s="104"/>
      <c r="B27" s="4" t="s">
        <v>31</v>
      </c>
    </row>
    <row r="28" spans="1:2" ht="60" x14ac:dyDescent="0.25">
      <c r="A28" s="104"/>
      <c r="B28" s="4" t="s">
        <v>32</v>
      </c>
    </row>
    <row r="29" spans="1:2" ht="75" x14ac:dyDescent="0.25">
      <c r="A29" s="104"/>
      <c r="B29" s="4" t="s">
        <v>33</v>
      </c>
    </row>
    <row r="30" spans="1:2" ht="45" x14ac:dyDescent="0.25">
      <c r="A30" s="104"/>
      <c r="B30" s="4" t="s">
        <v>34</v>
      </c>
    </row>
    <row r="31" spans="1:2" ht="75" x14ac:dyDescent="0.25">
      <c r="A31" s="104" t="s">
        <v>5</v>
      </c>
      <c r="B31" s="4" t="s">
        <v>35</v>
      </c>
    </row>
    <row r="32" spans="1:2" ht="30" x14ac:dyDescent="0.25">
      <c r="A32" s="104"/>
      <c r="B32" s="4" t="s">
        <v>36</v>
      </c>
    </row>
    <row r="33" spans="1:2" ht="90" x14ac:dyDescent="0.25">
      <c r="A33" s="104"/>
      <c r="B33" s="4" t="s">
        <v>37</v>
      </c>
    </row>
    <row r="34" spans="1:2" ht="75" x14ac:dyDescent="0.25">
      <c r="A34" s="104"/>
      <c r="B34" s="4" t="s">
        <v>38</v>
      </c>
    </row>
    <row r="35" spans="1:2" ht="75" customHeight="1" x14ac:dyDescent="0.25">
      <c r="A35" s="104" t="s">
        <v>6</v>
      </c>
      <c r="B35" s="4" t="s">
        <v>39</v>
      </c>
    </row>
    <row r="36" spans="1:2" ht="30" x14ac:dyDescent="0.25">
      <c r="A36" s="104"/>
      <c r="B36" s="4" t="s">
        <v>40</v>
      </c>
    </row>
    <row r="37" spans="1:2" ht="30" x14ac:dyDescent="0.25">
      <c r="A37" s="104"/>
      <c r="B37" s="4" t="s">
        <v>41</v>
      </c>
    </row>
    <row r="38" spans="1:2" ht="45" x14ac:dyDescent="0.25">
      <c r="A38" s="104"/>
      <c r="B38" s="4" t="s">
        <v>42</v>
      </c>
    </row>
  </sheetData>
  <mergeCells count="7">
    <mergeCell ref="A35:A38"/>
    <mergeCell ref="A10:A15"/>
    <mergeCell ref="A3:A9"/>
    <mergeCell ref="A16:A19"/>
    <mergeCell ref="A20:A25"/>
    <mergeCell ref="A26:A30"/>
    <mergeCell ref="A31:A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"/>
  <sheetViews>
    <sheetView workbookViewId="0">
      <selection activeCell="G6" sqref="G6"/>
    </sheetView>
  </sheetViews>
  <sheetFormatPr defaultRowHeight="15" x14ac:dyDescent="0.25"/>
  <cols>
    <col min="3" max="4" width="10.140625" bestFit="1" customWidth="1"/>
    <col min="5" max="5" width="11.28515625" customWidth="1"/>
    <col min="6" max="6" width="11.42578125" customWidth="1"/>
    <col min="8" max="8" width="9.85546875" customWidth="1"/>
    <col min="9" max="9" width="11.5703125" customWidth="1"/>
    <col min="16" max="16" width="13" customWidth="1"/>
    <col min="20" max="21" width="10.140625" customWidth="1"/>
    <col min="22" max="22" width="10" customWidth="1"/>
    <col min="23" max="23" width="10.140625" customWidth="1"/>
    <col min="24" max="25" width="9.7109375" customWidth="1"/>
    <col min="26" max="26" width="10.28515625" customWidth="1"/>
    <col min="27" max="27" width="10.42578125" customWidth="1"/>
    <col min="29" max="29" width="11.28515625" customWidth="1"/>
    <col min="30" max="30" width="13.140625" customWidth="1"/>
    <col min="31" max="31" width="12.28515625" customWidth="1"/>
    <col min="36" max="36" width="10.7109375" customWidth="1"/>
    <col min="38" max="38" width="12.140625" customWidth="1"/>
  </cols>
  <sheetData>
    <row r="1" spans="1:38" x14ac:dyDescent="0.25">
      <c r="A1" s="1"/>
      <c r="B1" s="1"/>
      <c r="C1" s="104" t="s">
        <v>3</v>
      </c>
      <c r="D1" s="104"/>
      <c r="E1" s="104"/>
      <c r="F1" s="104"/>
      <c r="G1" s="104"/>
      <c r="H1" s="104"/>
      <c r="I1" s="104"/>
      <c r="J1" s="104" t="s">
        <v>0</v>
      </c>
      <c r="K1" s="104"/>
      <c r="L1" s="104"/>
      <c r="M1" s="104"/>
      <c r="N1" s="104"/>
      <c r="O1" s="104"/>
      <c r="P1" s="104" t="s">
        <v>1</v>
      </c>
      <c r="Q1" s="104"/>
      <c r="R1" s="104"/>
      <c r="S1" s="104"/>
      <c r="T1" s="105" t="s">
        <v>2</v>
      </c>
      <c r="U1" s="105"/>
      <c r="V1" s="105"/>
      <c r="W1" s="105"/>
      <c r="X1" s="105"/>
      <c r="Y1" s="105"/>
      <c r="Z1" s="104" t="s">
        <v>4</v>
      </c>
      <c r="AA1" s="104"/>
      <c r="AB1" s="104"/>
      <c r="AC1" s="104"/>
      <c r="AD1" s="104"/>
      <c r="AE1" s="104" t="s">
        <v>5</v>
      </c>
      <c r="AF1" s="104"/>
      <c r="AG1" s="104"/>
      <c r="AH1" s="104"/>
      <c r="AI1" s="104" t="s">
        <v>6</v>
      </c>
      <c r="AJ1" s="104"/>
      <c r="AK1" s="104"/>
      <c r="AL1" s="104"/>
    </row>
    <row r="2" spans="1:38" s="7" customFormat="1" ht="60.75" customHeight="1" x14ac:dyDescent="0.25">
      <c r="A2" s="6"/>
      <c r="B2" s="6"/>
      <c r="C2" s="54" t="s">
        <v>57</v>
      </c>
      <c r="D2" s="55" t="s">
        <v>58</v>
      </c>
      <c r="E2" s="55" t="s">
        <v>59</v>
      </c>
      <c r="F2" s="55" t="s">
        <v>60</v>
      </c>
      <c r="G2" s="56" t="s">
        <v>61</v>
      </c>
      <c r="H2" s="56" t="s">
        <v>62</v>
      </c>
      <c r="I2" s="56" t="s">
        <v>63</v>
      </c>
      <c r="J2" s="56" t="s">
        <v>64</v>
      </c>
      <c r="K2" s="56" t="s">
        <v>65</v>
      </c>
      <c r="L2" s="56" t="s">
        <v>66</v>
      </c>
      <c r="M2" s="56" t="s">
        <v>67</v>
      </c>
      <c r="N2" s="56" t="s">
        <v>68</v>
      </c>
      <c r="O2" s="56" t="s">
        <v>69</v>
      </c>
      <c r="P2" s="56" t="s">
        <v>70</v>
      </c>
      <c r="Q2" s="56" t="s">
        <v>71</v>
      </c>
      <c r="R2" s="56" t="s">
        <v>72</v>
      </c>
      <c r="S2" s="56" t="s">
        <v>73</v>
      </c>
      <c r="T2" s="56" t="s">
        <v>74</v>
      </c>
      <c r="U2" s="56" t="s">
        <v>75</v>
      </c>
      <c r="V2" s="56" t="s">
        <v>76</v>
      </c>
      <c r="W2" s="56" t="s">
        <v>77</v>
      </c>
      <c r="X2" s="56" t="s">
        <v>78</v>
      </c>
      <c r="Y2" s="56" t="s">
        <v>79</v>
      </c>
      <c r="Z2" s="56" t="s">
        <v>80</v>
      </c>
      <c r="AA2" s="56" t="s">
        <v>81</v>
      </c>
      <c r="AB2" s="56" t="s">
        <v>82</v>
      </c>
      <c r="AC2" s="56" t="s">
        <v>83</v>
      </c>
      <c r="AD2" s="56" t="s">
        <v>84</v>
      </c>
      <c r="AE2" s="56" t="s">
        <v>85</v>
      </c>
      <c r="AF2" s="56" t="s">
        <v>86</v>
      </c>
      <c r="AG2" s="56" t="s">
        <v>87</v>
      </c>
      <c r="AH2" s="56" t="s">
        <v>88</v>
      </c>
      <c r="AI2" s="56" t="s">
        <v>89</v>
      </c>
      <c r="AJ2" s="56" t="s">
        <v>90</v>
      </c>
      <c r="AK2" s="56" t="s">
        <v>91</v>
      </c>
      <c r="AL2" s="56" t="s">
        <v>92</v>
      </c>
    </row>
    <row r="3" spans="1:38" x14ac:dyDescent="0.25">
      <c r="A3" s="5">
        <v>1</v>
      </c>
      <c r="B3" s="3" t="s">
        <v>43</v>
      </c>
      <c r="C3" s="8">
        <v>44855</v>
      </c>
      <c r="D3" s="8">
        <v>45009</v>
      </c>
      <c r="E3" s="8">
        <v>45034</v>
      </c>
      <c r="F3" s="8">
        <v>45044</v>
      </c>
    </row>
    <row r="4" spans="1:38" x14ac:dyDescent="0.25">
      <c r="A4" s="5">
        <v>2</v>
      </c>
      <c r="B4" s="3" t="s">
        <v>44</v>
      </c>
      <c r="C4" s="8">
        <v>44855</v>
      </c>
      <c r="D4" s="8">
        <v>45009</v>
      </c>
      <c r="E4" s="8">
        <v>45044</v>
      </c>
    </row>
    <row r="5" spans="1:38" x14ac:dyDescent="0.25">
      <c r="A5" s="5">
        <v>3</v>
      </c>
      <c r="B5" s="3" t="s">
        <v>45</v>
      </c>
      <c r="C5" s="8">
        <v>44855</v>
      </c>
      <c r="D5" s="8">
        <v>45009</v>
      </c>
      <c r="E5" s="8">
        <v>45044</v>
      </c>
    </row>
    <row r="6" spans="1:38" x14ac:dyDescent="0.25">
      <c r="A6" s="5">
        <v>4</v>
      </c>
      <c r="B6" s="3" t="s">
        <v>46</v>
      </c>
      <c r="C6" s="8">
        <v>44855</v>
      </c>
      <c r="D6" s="8">
        <v>45009</v>
      </c>
      <c r="E6" s="8">
        <v>45036</v>
      </c>
      <c r="F6" s="8">
        <v>45048</v>
      </c>
    </row>
    <row r="7" spans="1:38" x14ac:dyDescent="0.25">
      <c r="A7" s="5">
        <v>5</v>
      </c>
      <c r="B7" s="3" t="s">
        <v>47</v>
      </c>
      <c r="C7" s="8">
        <v>44855</v>
      </c>
      <c r="D7" s="8">
        <v>45009</v>
      </c>
      <c r="E7" s="8">
        <v>45038</v>
      </c>
      <c r="F7" s="8">
        <v>45044</v>
      </c>
    </row>
    <row r="8" spans="1:38" x14ac:dyDescent="0.25">
      <c r="A8" s="5">
        <v>6</v>
      </c>
      <c r="B8" s="3" t="s">
        <v>50</v>
      </c>
      <c r="C8" s="8">
        <v>44855</v>
      </c>
      <c r="D8" s="8">
        <v>45009</v>
      </c>
      <c r="E8" s="8">
        <v>45036</v>
      </c>
      <c r="F8" s="8">
        <v>45044</v>
      </c>
    </row>
    <row r="9" spans="1:38" x14ac:dyDescent="0.25">
      <c r="A9" s="5">
        <v>7</v>
      </c>
      <c r="B9" s="3" t="s">
        <v>48</v>
      </c>
      <c r="C9" s="8">
        <v>44855</v>
      </c>
      <c r="D9" s="8">
        <v>45009</v>
      </c>
      <c r="E9" s="8">
        <v>45036</v>
      </c>
      <c r="F9" s="8">
        <v>45044</v>
      </c>
    </row>
    <row r="10" spans="1:38" x14ac:dyDescent="0.25">
      <c r="A10" s="5">
        <v>8</v>
      </c>
      <c r="B10" s="3" t="s">
        <v>49</v>
      </c>
      <c r="C10" s="8">
        <v>44855</v>
      </c>
      <c r="D10" s="8">
        <v>45009</v>
      </c>
      <c r="E10" s="8">
        <v>45036</v>
      </c>
      <c r="F10" s="8">
        <v>45044</v>
      </c>
    </row>
    <row r="11" spans="1:38" ht="13.5" customHeight="1" x14ac:dyDescent="0.25"/>
  </sheetData>
  <mergeCells count="7">
    <mergeCell ref="AI1:AL1"/>
    <mergeCell ref="C1:I1"/>
    <mergeCell ref="J1:O1"/>
    <mergeCell ref="P1:S1"/>
    <mergeCell ref="T1:Y1"/>
    <mergeCell ref="Z1:AD1"/>
    <mergeCell ref="AE1:A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64"/>
  <sheetViews>
    <sheetView workbookViewId="0">
      <selection activeCell="H67" sqref="H67"/>
    </sheetView>
  </sheetViews>
  <sheetFormatPr defaultRowHeight="15" x14ac:dyDescent="0.25"/>
  <cols>
    <col min="10" max="10" width="18.42578125" bestFit="1" customWidth="1"/>
  </cols>
  <sheetData>
    <row r="1" spans="1:13" ht="15.75" thickBot="1" x14ac:dyDescent="0.3">
      <c r="A1" s="10"/>
      <c r="B1" s="2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50</v>
      </c>
      <c r="H1" s="11" t="s">
        <v>48</v>
      </c>
      <c r="I1" s="30" t="s">
        <v>49</v>
      </c>
      <c r="J1" s="20" t="s">
        <v>51</v>
      </c>
    </row>
    <row r="2" spans="1:13" x14ac:dyDescent="0.25">
      <c r="A2" s="12">
        <v>1</v>
      </c>
      <c r="B2" s="13">
        <v>0.7</v>
      </c>
      <c r="C2" s="13">
        <v>0</v>
      </c>
      <c r="D2" s="13">
        <v>0</v>
      </c>
      <c r="E2" s="13">
        <v>0.3</v>
      </c>
      <c r="F2" s="13">
        <v>0.5</v>
      </c>
      <c r="G2" s="13">
        <v>0.3</v>
      </c>
      <c r="H2" s="13">
        <v>0.2</v>
      </c>
      <c r="I2" s="14">
        <v>0.3</v>
      </c>
      <c r="J2">
        <v>0.2</v>
      </c>
      <c r="L2">
        <f>MIN(B2:J51)</f>
        <v>0</v>
      </c>
      <c r="M2">
        <f>MAX(B2:J51)</f>
        <v>0.7</v>
      </c>
    </row>
    <row r="3" spans="1:13" x14ac:dyDescent="0.25">
      <c r="A3" s="15">
        <v>2</v>
      </c>
      <c r="B3" s="9">
        <v>0.5</v>
      </c>
      <c r="C3" s="9">
        <v>0.2</v>
      </c>
      <c r="D3" s="9">
        <v>0.3</v>
      </c>
      <c r="E3" s="9">
        <v>0.3</v>
      </c>
      <c r="F3" s="9">
        <v>0.3</v>
      </c>
      <c r="G3" s="9">
        <v>0.5</v>
      </c>
      <c r="H3" s="9">
        <v>0</v>
      </c>
      <c r="I3" s="16">
        <v>0.5</v>
      </c>
      <c r="J3">
        <v>0.2</v>
      </c>
    </row>
    <row r="4" spans="1:13" x14ac:dyDescent="0.25">
      <c r="A4" s="15">
        <v>3</v>
      </c>
      <c r="B4" s="9">
        <v>0.5</v>
      </c>
      <c r="C4" s="9">
        <v>0</v>
      </c>
      <c r="D4" s="9">
        <v>0.3</v>
      </c>
      <c r="E4" s="9">
        <v>0.3</v>
      </c>
      <c r="F4" s="9">
        <v>0.5</v>
      </c>
      <c r="G4" s="9">
        <v>0</v>
      </c>
      <c r="H4" s="9">
        <v>0.3</v>
      </c>
      <c r="I4" s="16">
        <v>0.2</v>
      </c>
      <c r="J4">
        <v>0.2</v>
      </c>
    </row>
    <row r="5" spans="1:13" x14ac:dyDescent="0.25">
      <c r="A5" s="15">
        <v>4</v>
      </c>
      <c r="B5" s="9">
        <v>0.5</v>
      </c>
      <c r="C5" s="9">
        <v>0</v>
      </c>
      <c r="D5" s="9">
        <v>0.1</v>
      </c>
      <c r="E5" s="9">
        <v>0.5</v>
      </c>
      <c r="F5" s="9">
        <v>0.2</v>
      </c>
      <c r="G5" s="9">
        <v>0.2</v>
      </c>
      <c r="H5" s="9">
        <v>0.2</v>
      </c>
      <c r="I5" s="16">
        <v>0.3</v>
      </c>
      <c r="J5">
        <v>0.2</v>
      </c>
    </row>
    <row r="6" spans="1:13" x14ac:dyDescent="0.25">
      <c r="A6" s="15">
        <v>5</v>
      </c>
      <c r="B6" s="9">
        <v>0.1</v>
      </c>
      <c r="C6" s="9">
        <v>0.2</v>
      </c>
      <c r="D6" s="9">
        <v>0.1</v>
      </c>
      <c r="E6" s="9">
        <v>0.3</v>
      </c>
      <c r="F6" s="9">
        <v>0.3</v>
      </c>
      <c r="G6" s="9">
        <v>0.5</v>
      </c>
      <c r="H6" s="9">
        <v>0</v>
      </c>
      <c r="I6" s="16">
        <v>0.5</v>
      </c>
      <c r="J6">
        <v>0.2</v>
      </c>
    </row>
    <row r="7" spans="1:13" x14ac:dyDescent="0.25">
      <c r="A7" s="15">
        <v>6</v>
      </c>
      <c r="B7" s="9">
        <v>0.5</v>
      </c>
      <c r="C7" s="9">
        <v>0.3</v>
      </c>
      <c r="D7" s="9">
        <v>0.3</v>
      </c>
      <c r="E7" s="9">
        <v>0.3</v>
      </c>
      <c r="F7" s="9">
        <v>0.5</v>
      </c>
      <c r="G7" s="9">
        <v>0.2</v>
      </c>
      <c r="H7" s="9">
        <v>0.3</v>
      </c>
      <c r="I7" s="16">
        <v>0.5</v>
      </c>
      <c r="J7">
        <v>0.3</v>
      </c>
    </row>
    <row r="8" spans="1:13" x14ac:dyDescent="0.25">
      <c r="A8" s="15">
        <v>7</v>
      </c>
      <c r="B8" s="9">
        <v>0.5</v>
      </c>
      <c r="C8" s="9">
        <v>0.3</v>
      </c>
      <c r="D8" s="9">
        <v>0.3</v>
      </c>
      <c r="E8" s="9">
        <v>0.3</v>
      </c>
      <c r="F8" s="9">
        <v>0.5</v>
      </c>
      <c r="G8" s="9">
        <v>0.3</v>
      </c>
      <c r="H8" s="9">
        <v>0.3</v>
      </c>
      <c r="I8" s="16">
        <v>0.5</v>
      </c>
      <c r="J8">
        <v>0.2</v>
      </c>
    </row>
    <row r="9" spans="1:13" x14ac:dyDescent="0.25">
      <c r="A9" s="15">
        <v>8</v>
      </c>
      <c r="B9" s="9">
        <v>0.3</v>
      </c>
      <c r="C9" s="9">
        <v>0.2</v>
      </c>
      <c r="D9" s="9">
        <v>0.3</v>
      </c>
      <c r="E9" s="9">
        <v>0.3</v>
      </c>
      <c r="F9" s="9">
        <v>0.5</v>
      </c>
      <c r="G9" s="9">
        <v>0</v>
      </c>
      <c r="H9" s="9">
        <v>0.3</v>
      </c>
      <c r="I9" s="16">
        <v>0.3</v>
      </c>
      <c r="J9">
        <v>0.3</v>
      </c>
    </row>
    <row r="10" spans="1:13" x14ac:dyDescent="0.25">
      <c r="A10" s="15">
        <v>9</v>
      </c>
      <c r="B10" s="9">
        <v>0.5</v>
      </c>
      <c r="C10" s="9">
        <v>0.3</v>
      </c>
      <c r="D10" s="9">
        <v>0</v>
      </c>
      <c r="E10" s="9">
        <v>0.3</v>
      </c>
      <c r="F10" s="9">
        <v>0.5</v>
      </c>
      <c r="G10" s="9">
        <v>0</v>
      </c>
      <c r="H10" s="9">
        <v>0.3</v>
      </c>
      <c r="I10" s="16">
        <v>0.5</v>
      </c>
      <c r="J10">
        <v>0.2</v>
      </c>
    </row>
    <row r="11" spans="1:13" ht="15.75" thickBot="1" x14ac:dyDescent="0.3">
      <c r="A11" s="17">
        <v>10</v>
      </c>
      <c r="B11" s="18">
        <v>0.5</v>
      </c>
      <c r="C11" s="18">
        <v>0.3</v>
      </c>
      <c r="D11" s="18">
        <v>0.2</v>
      </c>
      <c r="E11" s="18">
        <v>0.3</v>
      </c>
      <c r="F11" s="18">
        <v>0.3</v>
      </c>
      <c r="G11" s="18">
        <v>0.2</v>
      </c>
      <c r="H11" s="18">
        <v>0.2</v>
      </c>
      <c r="I11" s="19">
        <v>0.3</v>
      </c>
      <c r="J11">
        <v>0.2</v>
      </c>
    </row>
    <row r="12" spans="1:13" x14ac:dyDescent="0.25">
      <c r="A12" s="12">
        <v>11</v>
      </c>
      <c r="B12" s="13">
        <v>0.1</v>
      </c>
      <c r="C12" s="13">
        <v>0.2</v>
      </c>
      <c r="D12" s="13">
        <v>0</v>
      </c>
      <c r="E12" s="13">
        <v>0.3</v>
      </c>
      <c r="F12" s="13">
        <v>0.3</v>
      </c>
      <c r="G12" s="13">
        <v>0</v>
      </c>
      <c r="H12" s="13">
        <v>0.3</v>
      </c>
      <c r="I12" s="14">
        <v>0.3</v>
      </c>
      <c r="J12">
        <v>0.2</v>
      </c>
    </row>
    <row r="13" spans="1:13" x14ac:dyDescent="0.25">
      <c r="A13" s="15">
        <v>12</v>
      </c>
      <c r="B13" s="9">
        <v>0.5</v>
      </c>
      <c r="C13" s="9">
        <v>0</v>
      </c>
      <c r="D13" s="9">
        <v>0.3</v>
      </c>
      <c r="E13" s="9">
        <v>0.5</v>
      </c>
      <c r="F13" s="9">
        <v>0.5</v>
      </c>
      <c r="G13" s="9">
        <v>0.3</v>
      </c>
      <c r="H13" s="9">
        <v>0.2</v>
      </c>
      <c r="I13" s="16">
        <v>0.5</v>
      </c>
      <c r="J13">
        <v>0.2</v>
      </c>
    </row>
    <row r="14" spans="1:13" x14ac:dyDescent="0.25">
      <c r="A14" s="15">
        <v>13</v>
      </c>
      <c r="B14" s="9">
        <v>0.7</v>
      </c>
      <c r="C14" s="9">
        <v>0</v>
      </c>
      <c r="D14" s="9">
        <v>0.3</v>
      </c>
      <c r="E14" s="9">
        <v>0.3</v>
      </c>
      <c r="F14" s="9">
        <v>0.5</v>
      </c>
      <c r="G14" s="9">
        <v>0.3</v>
      </c>
      <c r="H14" s="9">
        <v>0.2</v>
      </c>
      <c r="I14" s="16">
        <v>0.2</v>
      </c>
      <c r="J14">
        <v>0</v>
      </c>
    </row>
    <row r="15" spans="1:13" x14ac:dyDescent="0.25">
      <c r="A15" s="15">
        <v>14</v>
      </c>
      <c r="B15" s="9">
        <v>0.2</v>
      </c>
      <c r="C15" s="9">
        <v>0</v>
      </c>
      <c r="D15" s="9">
        <v>0</v>
      </c>
      <c r="E15" s="9">
        <v>0.2</v>
      </c>
      <c r="F15" s="9">
        <v>0.3</v>
      </c>
      <c r="G15" s="9">
        <v>0.2</v>
      </c>
      <c r="H15" s="9">
        <v>0.2</v>
      </c>
      <c r="I15" s="16">
        <v>0.2</v>
      </c>
      <c r="J15">
        <v>0.2</v>
      </c>
    </row>
    <row r="16" spans="1:13" x14ac:dyDescent="0.25">
      <c r="A16" s="15">
        <v>15</v>
      </c>
      <c r="B16" s="9">
        <v>0.5</v>
      </c>
      <c r="C16" s="9">
        <v>0</v>
      </c>
      <c r="D16" s="9">
        <v>0.2</v>
      </c>
      <c r="E16" s="9">
        <v>0.2</v>
      </c>
      <c r="F16" s="9">
        <v>0.3</v>
      </c>
      <c r="G16" s="9">
        <v>0.2</v>
      </c>
      <c r="H16" s="9">
        <v>0.3</v>
      </c>
      <c r="I16" s="16">
        <v>0.3</v>
      </c>
      <c r="J16">
        <v>0.2</v>
      </c>
    </row>
    <row r="17" spans="1:10" x14ac:dyDescent="0.25">
      <c r="A17" s="15">
        <v>16</v>
      </c>
      <c r="B17" s="9">
        <v>0.7</v>
      </c>
      <c r="C17" s="9">
        <v>0</v>
      </c>
      <c r="D17" s="9">
        <v>0.3</v>
      </c>
      <c r="E17" s="9">
        <v>0.5</v>
      </c>
      <c r="F17" s="9">
        <v>0.5</v>
      </c>
      <c r="G17" s="9">
        <v>0</v>
      </c>
      <c r="H17" s="9">
        <v>0.5</v>
      </c>
      <c r="I17" s="16">
        <v>0.3</v>
      </c>
      <c r="J17">
        <v>0.2</v>
      </c>
    </row>
    <row r="18" spans="1:10" x14ac:dyDescent="0.25">
      <c r="A18" s="15">
        <v>17</v>
      </c>
      <c r="B18" s="9">
        <v>0.3</v>
      </c>
      <c r="C18" s="9">
        <v>0</v>
      </c>
      <c r="D18" s="9">
        <v>0.2</v>
      </c>
      <c r="E18" s="9">
        <v>0.3</v>
      </c>
      <c r="F18" s="9">
        <v>0.2</v>
      </c>
      <c r="G18" s="9">
        <v>0.5</v>
      </c>
      <c r="H18" s="9">
        <v>0.2</v>
      </c>
      <c r="I18" s="16">
        <v>0.3</v>
      </c>
      <c r="J18">
        <v>0.5</v>
      </c>
    </row>
    <row r="19" spans="1:10" x14ac:dyDescent="0.25">
      <c r="A19" s="15">
        <v>18</v>
      </c>
      <c r="B19" s="9">
        <v>0</v>
      </c>
      <c r="C19" s="9">
        <v>0.2</v>
      </c>
      <c r="D19" s="9">
        <v>0.3</v>
      </c>
      <c r="E19" s="9">
        <v>0.3</v>
      </c>
      <c r="F19" s="9">
        <v>0.2</v>
      </c>
      <c r="G19" s="9">
        <v>0</v>
      </c>
      <c r="H19" s="9">
        <v>0.3</v>
      </c>
      <c r="I19" s="16">
        <v>0.7</v>
      </c>
      <c r="J19">
        <v>0.2</v>
      </c>
    </row>
    <row r="20" spans="1:10" x14ac:dyDescent="0.25">
      <c r="A20" s="15">
        <v>19</v>
      </c>
      <c r="B20" s="9">
        <v>0.7</v>
      </c>
      <c r="C20" s="9">
        <v>0.3</v>
      </c>
      <c r="D20" s="9">
        <v>0</v>
      </c>
      <c r="E20" s="9">
        <v>0.2</v>
      </c>
      <c r="F20" s="9">
        <v>0.3</v>
      </c>
      <c r="G20" s="9">
        <v>0</v>
      </c>
      <c r="H20" s="9">
        <v>0.3</v>
      </c>
      <c r="I20" s="16">
        <v>0.5</v>
      </c>
      <c r="J20">
        <v>0.3</v>
      </c>
    </row>
    <row r="21" spans="1:10" ht="15.75" thickBot="1" x14ac:dyDescent="0.3">
      <c r="A21" s="17">
        <v>20</v>
      </c>
      <c r="B21" s="18">
        <v>0.3</v>
      </c>
      <c r="C21" s="18">
        <v>0.5</v>
      </c>
      <c r="D21" s="18">
        <v>0.3</v>
      </c>
      <c r="E21" s="18">
        <v>0.3</v>
      </c>
      <c r="F21" s="18">
        <v>0.1</v>
      </c>
      <c r="G21" s="18">
        <v>0</v>
      </c>
      <c r="H21" s="18">
        <v>0.2</v>
      </c>
      <c r="I21" s="19">
        <v>0.5</v>
      </c>
      <c r="J21">
        <v>0.2</v>
      </c>
    </row>
    <row r="22" spans="1:10" x14ac:dyDescent="0.25">
      <c r="A22" s="12">
        <v>21</v>
      </c>
      <c r="B22" s="13">
        <v>0.3</v>
      </c>
      <c r="C22" s="13">
        <v>0</v>
      </c>
      <c r="D22" s="13">
        <v>0</v>
      </c>
      <c r="E22" s="13">
        <v>0.2</v>
      </c>
      <c r="F22" s="13">
        <v>0.5</v>
      </c>
      <c r="G22" s="13">
        <v>0.3</v>
      </c>
      <c r="H22" s="13">
        <v>0.3</v>
      </c>
      <c r="I22" s="14">
        <v>0.3</v>
      </c>
      <c r="J22">
        <v>0.2</v>
      </c>
    </row>
    <row r="23" spans="1:10" x14ac:dyDescent="0.25">
      <c r="A23" s="15">
        <v>22</v>
      </c>
      <c r="B23" s="9">
        <v>0.3</v>
      </c>
      <c r="C23" s="9">
        <v>0</v>
      </c>
      <c r="D23" s="9">
        <v>0.2</v>
      </c>
      <c r="E23" s="9">
        <v>0.2</v>
      </c>
      <c r="F23" s="9">
        <v>0.3</v>
      </c>
      <c r="G23" s="9">
        <v>0.2</v>
      </c>
      <c r="H23" s="9">
        <v>0.3</v>
      </c>
      <c r="I23" s="16">
        <v>0.5</v>
      </c>
      <c r="J23">
        <v>0.2</v>
      </c>
    </row>
    <row r="24" spans="1:10" x14ac:dyDescent="0.25">
      <c r="A24" s="15">
        <v>23</v>
      </c>
      <c r="B24" s="9">
        <v>0.3</v>
      </c>
      <c r="C24" s="9">
        <v>0</v>
      </c>
      <c r="D24" s="9">
        <v>0</v>
      </c>
      <c r="E24" s="9">
        <v>0.3</v>
      </c>
      <c r="F24" s="9">
        <v>0.3</v>
      </c>
      <c r="G24" s="9">
        <v>0.2</v>
      </c>
      <c r="H24" s="9">
        <v>0.2</v>
      </c>
      <c r="I24" s="16">
        <v>0.5</v>
      </c>
      <c r="J24">
        <v>0.2</v>
      </c>
    </row>
    <row r="25" spans="1:10" x14ac:dyDescent="0.25">
      <c r="A25" s="15">
        <v>24</v>
      </c>
      <c r="B25" s="9">
        <v>0.3</v>
      </c>
      <c r="C25" s="9">
        <v>0.2</v>
      </c>
      <c r="D25" s="9">
        <v>0.3</v>
      </c>
      <c r="E25" s="9">
        <v>0.3</v>
      </c>
      <c r="F25" s="9">
        <v>0.2</v>
      </c>
      <c r="G25" s="9">
        <v>0.3</v>
      </c>
      <c r="H25" s="9">
        <v>0.2</v>
      </c>
      <c r="I25" s="16">
        <v>0.7</v>
      </c>
      <c r="J25">
        <v>0.2</v>
      </c>
    </row>
    <row r="26" spans="1:10" x14ac:dyDescent="0.25">
      <c r="A26" s="15">
        <v>25</v>
      </c>
      <c r="B26" s="9">
        <v>0.2</v>
      </c>
      <c r="C26" s="9">
        <v>0.3</v>
      </c>
      <c r="D26" s="9">
        <v>0.2</v>
      </c>
      <c r="E26" s="9">
        <v>0.3</v>
      </c>
      <c r="F26" s="9">
        <v>0.3</v>
      </c>
      <c r="G26" s="9">
        <v>0</v>
      </c>
      <c r="H26" s="9">
        <v>0.3</v>
      </c>
      <c r="I26" s="16">
        <v>0</v>
      </c>
      <c r="J26">
        <v>0.2</v>
      </c>
    </row>
    <row r="27" spans="1:10" x14ac:dyDescent="0.25">
      <c r="A27" s="15">
        <v>26</v>
      </c>
      <c r="B27" s="9">
        <v>0.2</v>
      </c>
      <c r="C27" s="9">
        <v>0.3</v>
      </c>
      <c r="D27" s="9">
        <v>0.2</v>
      </c>
      <c r="E27" s="9">
        <v>0.3</v>
      </c>
      <c r="F27" s="9">
        <v>0.3</v>
      </c>
      <c r="G27" s="9">
        <v>0.2</v>
      </c>
      <c r="H27" s="9">
        <v>0.3</v>
      </c>
      <c r="I27" s="16">
        <v>0.7</v>
      </c>
      <c r="J27">
        <v>0.2</v>
      </c>
    </row>
    <row r="28" spans="1:10" x14ac:dyDescent="0.25">
      <c r="A28" s="15">
        <v>27</v>
      </c>
      <c r="B28" s="9">
        <v>0</v>
      </c>
      <c r="C28" s="9">
        <v>0.3</v>
      </c>
      <c r="D28" s="9">
        <v>0.2</v>
      </c>
      <c r="E28" s="9">
        <v>0.2</v>
      </c>
      <c r="F28" s="9">
        <v>0.3</v>
      </c>
      <c r="G28" s="9">
        <v>0.5</v>
      </c>
      <c r="H28" s="9">
        <v>0.3</v>
      </c>
      <c r="I28" s="16">
        <v>0.2</v>
      </c>
      <c r="J28">
        <v>0.2</v>
      </c>
    </row>
    <row r="29" spans="1:10" x14ac:dyDescent="0.25">
      <c r="A29" s="15">
        <v>28</v>
      </c>
      <c r="B29" s="9">
        <v>0.5</v>
      </c>
      <c r="C29" s="9">
        <v>0.2</v>
      </c>
      <c r="D29" s="9">
        <v>0.3</v>
      </c>
      <c r="E29" s="9">
        <v>0.3</v>
      </c>
      <c r="F29" s="9">
        <v>0.5</v>
      </c>
      <c r="G29" s="9">
        <v>0.2</v>
      </c>
      <c r="H29" s="9">
        <v>0.3</v>
      </c>
      <c r="I29" s="16">
        <v>0.3</v>
      </c>
      <c r="J29">
        <v>0.2</v>
      </c>
    </row>
    <row r="30" spans="1:10" x14ac:dyDescent="0.25">
      <c r="A30" s="15">
        <v>29</v>
      </c>
      <c r="B30" s="9">
        <v>0.2</v>
      </c>
      <c r="C30" s="9">
        <v>0.2</v>
      </c>
      <c r="D30" s="9">
        <v>0</v>
      </c>
      <c r="E30" s="9">
        <v>0.3</v>
      </c>
      <c r="F30" s="9">
        <v>0.3</v>
      </c>
      <c r="G30" s="9">
        <v>0.3</v>
      </c>
      <c r="H30" s="9">
        <v>0.3</v>
      </c>
      <c r="I30" s="16">
        <v>0.3</v>
      </c>
      <c r="J30">
        <v>0.3</v>
      </c>
    </row>
    <row r="31" spans="1:10" ht="15.75" thickBot="1" x14ac:dyDescent="0.3">
      <c r="A31" s="17">
        <v>30</v>
      </c>
      <c r="B31" s="18">
        <v>0.3</v>
      </c>
      <c r="C31" s="18">
        <v>0.3</v>
      </c>
      <c r="D31" s="18">
        <v>0.2</v>
      </c>
      <c r="E31" s="18">
        <v>0.3</v>
      </c>
      <c r="F31" s="18"/>
      <c r="G31" s="18">
        <v>0</v>
      </c>
      <c r="H31" s="18">
        <v>0.3</v>
      </c>
      <c r="I31" s="19">
        <v>0.3</v>
      </c>
      <c r="J31">
        <v>0.3</v>
      </c>
    </row>
    <row r="32" spans="1:10" x14ac:dyDescent="0.25">
      <c r="A32" s="12">
        <v>31</v>
      </c>
      <c r="B32" s="13">
        <v>0.3</v>
      </c>
      <c r="C32" s="13">
        <v>0.2</v>
      </c>
      <c r="D32" s="13">
        <v>0</v>
      </c>
      <c r="E32" s="13">
        <v>0.3</v>
      </c>
      <c r="F32" s="13"/>
      <c r="G32" s="13">
        <v>0</v>
      </c>
      <c r="H32" s="13">
        <v>0.2</v>
      </c>
      <c r="I32" s="14">
        <v>0.3</v>
      </c>
      <c r="J32">
        <v>0.2</v>
      </c>
    </row>
    <row r="33" spans="1:10" x14ac:dyDescent="0.25">
      <c r="A33" s="15">
        <v>32</v>
      </c>
      <c r="B33" s="9">
        <v>0.5</v>
      </c>
      <c r="C33" s="9">
        <v>0</v>
      </c>
      <c r="D33" s="9">
        <v>0</v>
      </c>
      <c r="E33" s="9">
        <v>0.2</v>
      </c>
      <c r="F33" s="9"/>
      <c r="G33" s="9">
        <v>0.5</v>
      </c>
      <c r="H33" s="9">
        <v>0.1</v>
      </c>
      <c r="I33" s="16">
        <v>0.3</v>
      </c>
      <c r="J33">
        <v>0.2</v>
      </c>
    </row>
    <row r="34" spans="1:10" x14ac:dyDescent="0.25">
      <c r="A34" s="15">
        <v>33</v>
      </c>
      <c r="B34" s="9">
        <v>0.3</v>
      </c>
      <c r="C34" s="9">
        <v>0</v>
      </c>
      <c r="D34" s="9">
        <v>0.2</v>
      </c>
      <c r="E34" s="9">
        <v>0.3</v>
      </c>
      <c r="F34" s="9"/>
      <c r="G34" s="9">
        <v>0.3</v>
      </c>
      <c r="H34" s="9">
        <v>0.3</v>
      </c>
      <c r="I34" s="16">
        <v>0.5</v>
      </c>
      <c r="J34">
        <v>0.5</v>
      </c>
    </row>
    <row r="35" spans="1:10" x14ac:dyDescent="0.25">
      <c r="A35" s="15">
        <v>34</v>
      </c>
      <c r="B35" s="9">
        <v>0.5</v>
      </c>
      <c r="C35" s="9">
        <v>0.3</v>
      </c>
      <c r="D35" s="9">
        <v>0.2</v>
      </c>
      <c r="E35" s="9">
        <v>0.2</v>
      </c>
      <c r="F35" s="9"/>
      <c r="G35" s="9">
        <v>0.3</v>
      </c>
      <c r="H35" s="9">
        <v>0.3</v>
      </c>
      <c r="I35" s="16">
        <v>0.3</v>
      </c>
      <c r="J35">
        <v>0.3</v>
      </c>
    </row>
    <row r="36" spans="1:10" x14ac:dyDescent="0.25">
      <c r="A36" s="15">
        <v>35</v>
      </c>
      <c r="B36" s="9">
        <v>0.3</v>
      </c>
      <c r="C36" s="9">
        <v>0.3</v>
      </c>
      <c r="D36" s="9">
        <v>0.2</v>
      </c>
      <c r="E36" s="9">
        <v>0.3</v>
      </c>
      <c r="F36" s="9"/>
      <c r="G36" s="9">
        <v>0.5</v>
      </c>
      <c r="H36" s="9">
        <v>0.2</v>
      </c>
      <c r="I36" s="16">
        <v>0.3</v>
      </c>
      <c r="J36">
        <v>0.3</v>
      </c>
    </row>
    <row r="37" spans="1:10" x14ac:dyDescent="0.25">
      <c r="A37" s="15">
        <v>36</v>
      </c>
      <c r="B37" s="9">
        <v>0.5</v>
      </c>
      <c r="C37" s="9">
        <v>0</v>
      </c>
      <c r="D37" s="9">
        <v>0.3</v>
      </c>
      <c r="E37" s="9">
        <v>0.3</v>
      </c>
      <c r="F37" s="9"/>
      <c r="G37" s="9">
        <v>0.3</v>
      </c>
      <c r="H37" s="9">
        <v>0.3</v>
      </c>
      <c r="I37" s="16">
        <v>0.3</v>
      </c>
      <c r="J37">
        <v>0.3</v>
      </c>
    </row>
    <row r="38" spans="1:10" x14ac:dyDescent="0.25">
      <c r="A38" s="15">
        <v>37</v>
      </c>
      <c r="B38" s="9">
        <v>0.5</v>
      </c>
      <c r="C38" s="9">
        <v>0.3</v>
      </c>
      <c r="D38" s="9">
        <v>0.3</v>
      </c>
      <c r="E38" s="9">
        <v>0.3</v>
      </c>
      <c r="F38" s="9"/>
      <c r="G38" s="9">
        <v>0.5</v>
      </c>
      <c r="H38" s="9">
        <v>0.3</v>
      </c>
      <c r="I38" s="16">
        <v>0.2</v>
      </c>
      <c r="J38">
        <v>0.3</v>
      </c>
    </row>
    <row r="39" spans="1:10" x14ac:dyDescent="0.25">
      <c r="A39" s="15">
        <v>38</v>
      </c>
      <c r="B39" s="9">
        <v>0.5</v>
      </c>
      <c r="C39" s="9">
        <v>0.2</v>
      </c>
      <c r="D39" s="9">
        <v>0.3</v>
      </c>
      <c r="E39" s="9">
        <v>0.2</v>
      </c>
      <c r="F39" s="9"/>
      <c r="G39" s="9">
        <v>0</v>
      </c>
      <c r="H39" s="9">
        <v>0.3</v>
      </c>
      <c r="I39" s="16">
        <v>0.2</v>
      </c>
      <c r="J39">
        <v>0.3</v>
      </c>
    </row>
    <row r="40" spans="1:10" x14ac:dyDescent="0.25">
      <c r="A40" s="15">
        <v>39</v>
      </c>
      <c r="B40" s="9">
        <v>0.5</v>
      </c>
      <c r="C40" s="9">
        <v>0.2</v>
      </c>
      <c r="D40" s="9">
        <v>0.2</v>
      </c>
      <c r="E40" s="9">
        <v>0.3</v>
      </c>
      <c r="F40" s="9"/>
      <c r="G40" s="9">
        <v>0</v>
      </c>
      <c r="H40" s="9">
        <v>0.2</v>
      </c>
      <c r="I40" s="16">
        <v>0.2</v>
      </c>
      <c r="J40">
        <v>0.3</v>
      </c>
    </row>
    <row r="41" spans="1:10" ht="15.75" thickBot="1" x14ac:dyDescent="0.3">
      <c r="A41" s="17">
        <v>40</v>
      </c>
      <c r="B41" s="18">
        <v>0.5</v>
      </c>
      <c r="C41" s="18">
        <v>0.2</v>
      </c>
      <c r="D41" s="18">
        <v>0.2</v>
      </c>
      <c r="E41" s="18">
        <v>0.2</v>
      </c>
      <c r="F41" s="18"/>
      <c r="G41" s="18">
        <v>0</v>
      </c>
      <c r="H41" s="18">
        <v>0.2</v>
      </c>
      <c r="I41" s="19">
        <v>0.2</v>
      </c>
      <c r="J41">
        <v>0.5</v>
      </c>
    </row>
    <row r="42" spans="1:10" x14ac:dyDescent="0.25">
      <c r="A42" s="12">
        <v>41</v>
      </c>
      <c r="B42" s="13">
        <v>0.5</v>
      </c>
      <c r="C42" s="13">
        <v>0.2</v>
      </c>
      <c r="D42" s="13">
        <v>0.2</v>
      </c>
      <c r="E42" s="13">
        <v>0.3</v>
      </c>
      <c r="F42" s="13"/>
      <c r="G42" s="13">
        <v>0</v>
      </c>
      <c r="H42" s="13">
        <v>0.2</v>
      </c>
      <c r="I42" s="14">
        <v>0.5</v>
      </c>
      <c r="J42">
        <v>0.3</v>
      </c>
    </row>
    <row r="43" spans="1:10" x14ac:dyDescent="0.25">
      <c r="A43" s="15">
        <v>42</v>
      </c>
      <c r="B43" s="9">
        <v>0.2</v>
      </c>
      <c r="C43" s="9">
        <v>0</v>
      </c>
      <c r="D43" s="9">
        <v>0.3</v>
      </c>
      <c r="E43" s="9">
        <v>0.3</v>
      </c>
      <c r="F43" s="9"/>
      <c r="G43" s="9">
        <v>0</v>
      </c>
      <c r="H43" s="9">
        <v>0</v>
      </c>
      <c r="I43" s="16">
        <v>0.5</v>
      </c>
      <c r="J43">
        <v>0.3</v>
      </c>
    </row>
    <row r="44" spans="1:10" x14ac:dyDescent="0.25">
      <c r="A44" s="15">
        <v>43</v>
      </c>
      <c r="B44" s="9">
        <v>0.3</v>
      </c>
      <c r="C44" s="9">
        <v>0.2</v>
      </c>
      <c r="D44" s="9">
        <v>0.2</v>
      </c>
      <c r="E44" s="9">
        <v>0.2</v>
      </c>
      <c r="F44" s="9"/>
      <c r="G44" s="9">
        <v>0.3</v>
      </c>
      <c r="H44" s="9">
        <v>0.2</v>
      </c>
      <c r="I44" s="16">
        <v>0.5</v>
      </c>
      <c r="J44">
        <v>0.3</v>
      </c>
    </row>
    <row r="45" spans="1:10" x14ac:dyDescent="0.25">
      <c r="A45" s="15">
        <v>44</v>
      </c>
      <c r="B45" s="9">
        <v>0.5</v>
      </c>
      <c r="C45" s="9">
        <v>0</v>
      </c>
      <c r="D45" s="9">
        <v>0.1</v>
      </c>
      <c r="E45" s="9">
        <v>0.3</v>
      </c>
      <c r="F45" s="9"/>
      <c r="G45" s="9">
        <v>0.3</v>
      </c>
      <c r="H45" s="9">
        <v>0.3</v>
      </c>
      <c r="I45" s="16">
        <v>0.3</v>
      </c>
      <c r="J45">
        <v>0.3</v>
      </c>
    </row>
    <row r="46" spans="1:10" x14ac:dyDescent="0.25">
      <c r="A46" s="15">
        <v>45</v>
      </c>
      <c r="B46" s="9">
        <v>0.2</v>
      </c>
      <c r="C46" s="9">
        <v>0</v>
      </c>
      <c r="D46" s="9">
        <v>0</v>
      </c>
      <c r="E46" s="9">
        <v>0.3</v>
      </c>
      <c r="F46" s="9"/>
      <c r="G46" s="9">
        <v>0.3</v>
      </c>
      <c r="H46" s="9">
        <v>0.3</v>
      </c>
      <c r="I46" s="16">
        <v>0.2</v>
      </c>
      <c r="J46">
        <v>0.2</v>
      </c>
    </row>
    <row r="47" spans="1:10" x14ac:dyDescent="0.25">
      <c r="A47" s="15">
        <v>46</v>
      </c>
      <c r="B47" s="9">
        <v>0.5</v>
      </c>
      <c r="C47" s="9">
        <v>0.2</v>
      </c>
      <c r="D47" s="9">
        <v>0.2</v>
      </c>
      <c r="E47" s="9">
        <v>0.5</v>
      </c>
      <c r="F47" s="9"/>
      <c r="G47" s="9">
        <v>0.3</v>
      </c>
      <c r="H47" s="9">
        <v>0.2</v>
      </c>
      <c r="I47" s="16">
        <v>0.3</v>
      </c>
      <c r="J47">
        <v>0.2</v>
      </c>
    </row>
    <row r="48" spans="1:10" x14ac:dyDescent="0.25">
      <c r="A48" s="15">
        <v>47</v>
      </c>
      <c r="B48" s="9">
        <v>0.5</v>
      </c>
      <c r="C48" s="9">
        <v>0.2</v>
      </c>
      <c r="D48" s="9">
        <v>0</v>
      </c>
      <c r="E48" s="9">
        <v>0.3</v>
      </c>
      <c r="F48" s="9"/>
      <c r="G48" s="9">
        <v>0.3</v>
      </c>
      <c r="H48" s="9">
        <v>0</v>
      </c>
      <c r="I48" s="16">
        <v>0.5</v>
      </c>
      <c r="J48">
        <v>0.2</v>
      </c>
    </row>
    <row r="49" spans="1:10" x14ac:dyDescent="0.25">
      <c r="A49" s="15">
        <v>48</v>
      </c>
      <c r="B49" s="9">
        <v>0.2</v>
      </c>
      <c r="C49" s="9">
        <v>0</v>
      </c>
      <c r="D49" s="9">
        <v>0</v>
      </c>
      <c r="E49" s="9">
        <v>0.3</v>
      </c>
      <c r="F49" s="9"/>
      <c r="G49" s="9">
        <v>0.3</v>
      </c>
      <c r="H49" s="9">
        <v>0.2</v>
      </c>
      <c r="I49" s="16">
        <v>0.5</v>
      </c>
      <c r="J49">
        <v>0.2</v>
      </c>
    </row>
    <row r="50" spans="1:10" x14ac:dyDescent="0.25">
      <c r="A50" s="15">
        <v>49</v>
      </c>
      <c r="B50" s="9">
        <v>0.7</v>
      </c>
      <c r="C50" s="9">
        <v>0.2</v>
      </c>
      <c r="D50" s="9">
        <v>0.2</v>
      </c>
      <c r="E50" s="9">
        <v>0.3</v>
      </c>
      <c r="F50" s="9"/>
      <c r="G50" s="9">
        <v>0.3</v>
      </c>
      <c r="H50" s="9">
        <v>0.2</v>
      </c>
      <c r="I50" s="16">
        <v>0.5</v>
      </c>
      <c r="J50">
        <v>0.2</v>
      </c>
    </row>
    <row r="51" spans="1:10" ht="15.75" thickBot="1" x14ac:dyDescent="0.3">
      <c r="A51" s="17">
        <v>50</v>
      </c>
      <c r="B51" s="18">
        <v>0.7</v>
      </c>
      <c r="C51" s="18">
        <v>0.3</v>
      </c>
      <c r="D51" s="18">
        <v>0</v>
      </c>
      <c r="E51" s="18">
        <v>0.3</v>
      </c>
      <c r="F51" s="18"/>
      <c r="G51" s="18">
        <v>0.5</v>
      </c>
      <c r="H51" s="18">
        <v>0.2</v>
      </c>
      <c r="I51" s="19">
        <v>0.5</v>
      </c>
      <c r="J51">
        <v>0.5</v>
      </c>
    </row>
    <row r="52" spans="1:10" x14ac:dyDescent="0.25">
      <c r="A52" s="5"/>
    </row>
    <row r="53" spans="1:10" x14ac:dyDescent="0.25">
      <c r="A53" s="22" t="s">
        <v>52</v>
      </c>
      <c r="B53" s="23">
        <f t="shared" ref="B53:J53" si="0">AVERAGE(B2:B51)</f>
        <v>0.39799999999999996</v>
      </c>
      <c r="C53" s="23">
        <f t="shared" si="0"/>
        <v>0.15600000000000003</v>
      </c>
      <c r="D53" s="23">
        <f t="shared" si="0"/>
        <v>0.16999999999999996</v>
      </c>
      <c r="E53" s="23">
        <f t="shared" si="0"/>
        <v>0.29400000000000015</v>
      </c>
      <c r="F53" s="23">
        <f t="shared" si="0"/>
        <v>0.35517241379310355</v>
      </c>
      <c r="G53" s="23">
        <f t="shared" si="0"/>
        <v>0.21800000000000011</v>
      </c>
      <c r="H53" s="23">
        <f t="shared" si="0"/>
        <v>0.23599999999999993</v>
      </c>
      <c r="I53" s="23">
        <f t="shared" si="0"/>
        <v>0.37200000000000005</v>
      </c>
      <c r="J53" s="23">
        <f t="shared" si="0"/>
        <v>0.25000000000000011</v>
      </c>
    </row>
    <row r="54" spans="1:10" x14ac:dyDescent="0.25">
      <c r="A54" s="22"/>
      <c r="B54" s="23"/>
      <c r="C54" s="23"/>
      <c r="D54" s="23"/>
      <c r="E54" s="23"/>
      <c r="F54" s="23"/>
      <c r="G54" s="23"/>
      <c r="H54" s="23"/>
      <c r="I54" s="23"/>
      <c r="J54" s="23"/>
    </row>
    <row r="55" spans="1:10" s="27" customFormat="1" x14ac:dyDescent="0.25">
      <c r="A55" s="22">
        <v>0</v>
      </c>
      <c r="B55" s="23">
        <f t="shared" ref="B55:J55" si="1">COUNTIF(B2:B51,0)</f>
        <v>2</v>
      </c>
      <c r="C55" s="23">
        <f t="shared" si="1"/>
        <v>19</v>
      </c>
      <c r="D55" s="23">
        <f t="shared" si="1"/>
        <v>14</v>
      </c>
      <c r="E55" s="23">
        <f t="shared" si="1"/>
        <v>0</v>
      </c>
      <c r="F55" s="23">
        <f t="shared" si="1"/>
        <v>0</v>
      </c>
      <c r="G55" s="23">
        <f t="shared" si="1"/>
        <v>16</v>
      </c>
      <c r="H55" s="23">
        <f t="shared" si="1"/>
        <v>4</v>
      </c>
      <c r="I55" s="23">
        <f t="shared" si="1"/>
        <v>1</v>
      </c>
      <c r="J55" s="23">
        <f t="shared" si="1"/>
        <v>1</v>
      </c>
    </row>
    <row r="56" spans="1:10" s="27" customFormat="1" x14ac:dyDescent="0.25">
      <c r="A56" s="22">
        <v>0.1</v>
      </c>
      <c r="B56" s="23">
        <f t="shared" ref="B56:J56" si="2">COUNTIF(B2:B51,0.1)</f>
        <v>2</v>
      </c>
      <c r="C56" s="23">
        <f t="shared" si="2"/>
        <v>0</v>
      </c>
      <c r="D56" s="23">
        <f t="shared" si="2"/>
        <v>3</v>
      </c>
      <c r="E56" s="23">
        <f t="shared" si="2"/>
        <v>0</v>
      </c>
      <c r="F56" s="23">
        <f t="shared" si="2"/>
        <v>1</v>
      </c>
      <c r="G56" s="23">
        <f t="shared" si="2"/>
        <v>0</v>
      </c>
      <c r="H56" s="23">
        <f t="shared" si="2"/>
        <v>1</v>
      </c>
      <c r="I56" s="23">
        <f t="shared" si="2"/>
        <v>0</v>
      </c>
      <c r="J56" s="23">
        <f t="shared" si="2"/>
        <v>0</v>
      </c>
    </row>
    <row r="57" spans="1:10" s="27" customFormat="1" x14ac:dyDescent="0.25">
      <c r="A57" s="22">
        <v>0.2</v>
      </c>
      <c r="B57" s="23">
        <f t="shared" ref="B57:J57" si="3">COUNTIF(B2:B51,0.2)</f>
        <v>7</v>
      </c>
      <c r="C57" s="23">
        <f t="shared" si="3"/>
        <v>17</v>
      </c>
      <c r="D57" s="23">
        <f t="shared" si="3"/>
        <v>17</v>
      </c>
      <c r="E57" s="23">
        <f t="shared" si="3"/>
        <v>11</v>
      </c>
      <c r="F57" s="23">
        <f t="shared" si="3"/>
        <v>4</v>
      </c>
      <c r="G57" s="23">
        <f t="shared" si="3"/>
        <v>9</v>
      </c>
      <c r="H57" s="23">
        <f t="shared" si="3"/>
        <v>20</v>
      </c>
      <c r="I57" s="23">
        <f t="shared" si="3"/>
        <v>9</v>
      </c>
      <c r="J57" s="23">
        <f t="shared" si="3"/>
        <v>30</v>
      </c>
    </row>
    <row r="58" spans="1:10" s="27" customFormat="1" x14ac:dyDescent="0.25">
      <c r="A58" s="22">
        <v>0.3</v>
      </c>
      <c r="B58" s="23">
        <f t="shared" ref="B58:J58" si="4">COUNTIF(B2:B51,0.3)</f>
        <v>12</v>
      </c>
      <c r="C58" s="23">
        <f t="shared" si="4"/>
        <v>13</v>
      </c>
      <c r="D58" s="23">
        <f t="shared" si="4"/>
        <v>16</v>
      </c>
      <c r="E58" s="25">
        <f t="shared" si="4"/>
        <v>35</v>
      </c>
      <c r="F58" s="23">
        <f t="shared" si="4"/>
        <v>13</v>
      </c>
      <c r="G58" s="23">
        <f t="shared" si="4"/>
        <v>17</v>
      </c>
      <c r="H58" s="23">
        <f t="shared" si="4"/>
        <v>24</v>
      </c>
      <c r="I58" s="23">
        <f t="shared" si="4"/>
        <v>19</v>
      </c>
      <c r="J58" s="23">
        <f t="shared" si="4"/>
        <v>15</v>
      </c>
    </row>
    <row r="59" spans="1:10" s="25" customFormat="1" x14ac:dyDescent="0.25">
      <c r="A59" s="22">
        <v>0.5</v>
      </c>
      <c r="B59" s="23">
        <f t="shared" ref="B59:J59" si="5">COUNTIF(B2:B51,0.5)</f>
        <v>21</v>
      </c>
      <c r="C59" s="23">
        <f t="shared" si="5"/>
        <v>1</v>
      </c>
      <c r="D59" s="23">
        <f t="shared" si="5"/>
        <v>0</v>
      </c>
      <c r="E59" s="23">
        <f t="shared" si="5"/>
        <v>4</v>
      </c>
      <c r="F59" s="23">
        <f t="shared" si="5"/>
        <v>11</v>
      </c>
      <c r="G59" s="23">
        <f t="shared" si="5"/>
        <v>8</v>
      </c>
      <c r="H59" s="23">
        <f t="shared" si="5"/>
        <v>1</v>
      </c>
      <c r="I59" s="23">
        <f t="shared" si="5"/>
        <v>18</v>
      </c>
      <c r="J59" s="23">
        <f t="shared" si="5"/>
        <v>4</v>
      </c>
    </row>
    <row r="60" spans="1:10" s="25" customFormat="1" x14ac:dyDescent="0.25">
      <c r="A60" s="22">
        <v>0.7</v>
      </c>
      <c r="B60" s="23">
        <f t="shared" ref="B60:J60" si="6">COUNTIF(B2:B51,0.7)</f>
        <v>6</v>
      </c>
      <c r="C60" s="23">
        <f t="shared" si="6"/>
        <v>0</v>
      </c>
      <c r="D60" s="23">
        <f t="shared" si="6"/>
        <v>0</v>
      </c>
      <c r="E60" s="23">
        <f t="shared" si="6"/>
        <v>0</v>
      </c>
      <c r="F60" s="23">
        <f t="shared" si="6"/>
        <v>0</v>
      </c>
      <c r="G60" s="23">
        <f t="shared" si="6"/>
        <v>0</v>
      </c>
      <c r="H60" s="23">
        <f t="shared" si="6"/>
        <v>0</v>
      </c>
      <c r="I60" s="23">
        <f t="shared" si="6"/>
        <v>3</v>
      </c>
      <c r="J60" s="23">
        <f t="shared" si="6"/>
        <v>0</v>
      </c>
    </row>
    <row r="61" spans="1:10" s="25" customFormat="1" x14ac:dyDescent="0.25">
      <c r="A61" s="22">
        <v>0.9</v>
      </c>
      <c r="B61" s="23">
        <f t="shared" ref="B61:J61" si="7">COUNTIF(B2:B51,0.9)</f>
        <v>0</v>
      </c>
      <c r="C61" s="23">
        <f t="shared" si="7"/>
        <v>0</v>
      </c>
      <c r="D61" s="23">
        <f t="shared" si="7"/>
        <v>0</v>
      </c>
      <c r="E61" s="23">
        <f t="shared" si="7"/>
        <v>0</v>
      </c>
      <c r="F61" s="23">
        <f t="shared" si="7"/>
        <v>0</v>
      </c>
      <c r="G61" s="23">
        <f t="shared" si="7"/>
        <v>0</v>
      </c>
      <c r="H61" s="23">
        <f t="shared" si="7"/>
        <v>0</v>
      </c>
      <c r="I61" s="23">
        <f t="shared" si="7"/>
        <v>0</v>
      </c>
      <c r="J61" s="23">
        <f t="shared" si="7"/>
        <v>0</v>
      </c>
    </row>
    <row r="62" spans="1:10" s="25" customFormat="1" x14ac:dyDescent="0.25">
      <c r="A62" s="22"/>
      <c r="B62" s="89">
        <f>SUM(B55:B61)</f>
        <v>50</v>
      </c>
      <c r="C62" s="89">
        <f t="shared" ref="C62:J62" si="8">SUM(C55:C61)</f>
        <v>50</v>
      </c>
      <c r="D62" s="89">
        <f t="shared" si="8"/>
        <v>50</v>
      </c>
      <c r="E62" s="89">
        <f t="shared" si="8"/>
        <v>50</v>
      </c>
      <c r="F62" s="90">
        <f t="shared" si="8"/>
        <v>29</v>
      </c>
      <c r="G62" s="89">
        <f t="shared" si="8"/>
        <v>50</v>
      </c>
      <c r="H62" s="89">
        <f t="shared" si="8"/>
        <v>50</v>
      </c>
      <c r="I62" s="89">
        <f t="shared" si="8"/>
        <v>50</v>
      </c>
      <c r="J62" s="89">
        <f t="shared" si="8"/>
        <v>50</v>
      </c>
    </row>
    <row r="64" spans="1:10" s="25" customFormat="1" x14ac:dyDescent="0.25">
      <c r="A64" s="29" t="s">
        <v>112</v>
      </c>
      <c r="B64" s="26">
        <f>SUM(B59:B61)</f>
        <v>27</v>
      </c>
      <c r="C64" s="24">
        <f t="shared" ref="C64:J64" si="9">SUM(C59:C61)</f>
        <v>1</v>
      </c>
      <c r="D64" s="24">
        <f t="shared" si="9"/>
        <v>0</v>
      </c>
      <c r="E64" s="24">
        <f t="shared" si="9"/>
        <v>4</v>
      </c>
      <c r="F64" s="24">
        <f t="shared" si="9"/>
        <v>11</v>
      </c>
      <c r="G64" s="24">
        <f t="shared" si="9"/>
        <v>8</v>
      </c>
      <c r="H64" s="24">
        <f t="shared" si="9"/>
        <v>1</v>
      </c>
      <c r="I64" s="103">
        <f t="shared" si="9"/>
        <v>21</v>
      </c>
      <c r="J64" s="24">
        <f t="shared" si="9"/>
        <v>4</v>
      </c>
    </row>
  </sheetData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64"/>
  <sheetViews>
    <sheetView workbookViewId="0">
      <selection activeCell="E69" sqref="E69"/>
    </sheetView>
  </sheetViews>
  <sheetFormatPr defaultRowHeight="15" x14ac:dyDescent="0.25"/>
  <cols>
    <col min="10" max="10" width="18.42578125" bestFit="1" customWidth="1"/>
  </cols>
  <sheetData>
    <row r="1" spans="1:13" ht="15.75" thickBot="1" x14ac:dyDescent="0.3">
      <c r="A1" s="34"/>
      <c r="B1" s="35" t="s">
        <v>43</v>
      </c>
      <c r="C1" s="36" t="s">
        <v>44</v>
      </c>
      <c r="D1" s="36" t="s">
        <v>45</v>
      </c>
      <c r="E1" s="35" t="s">
        <v>46</v>
      </c>
      <c r="F1" s="36" t="s">
        <v>47</v>
      </c>
      <c r="G1" s="35" t="s">
        <v>50</v>
      </c>
      <c r="H1" s="35" t="s">
        <v>48</v>
      </c>
      <c r="I1" s="38" t="s">
        <v>49</v>
      </c>
      <c r="J1" s="20" t="s">
        <v>51</v>
      </c>
    </row>
    <row r="2" spans="1:13" x14ac:dyDescent="0.25">
      <c r="A2" s="12">
        <v>1</v>
      </c>
      <c r="B2" s="13">
        <v>0.9</v>
      </c>
      <c r="C2" s="13">
        <v>0.2</v>
      </c>
      <c r="D2" s="13">
        <v>0.5</v>
      </c>
      <c r="E2" s="13">
        <v>0.3</v>
      </c>
      <c r="F2" s="13">
        <v>0.3</v>
      </c>
      <c r="G2" s="13">
        <v>0.5</v>
      </c>
      <c r="H2" s="31">
        <v>0.5</v>
      </c>
      <c r="I2" s="14">
        <v>0.7</v>
      </c>
      <c r="J2" s="39">
        <v>0.2</v>
      </c>
      <c r="L2">
        <f>MIN(B2:J51)</f>
        <v>0</v>
      </c>
      <c r="M2">
        <f>MAX(B2:J51)</f>
        <v>0.9</v>
      </c>
    </row>
    <row r="3" spans="1:13" x14ac:dyDescent="0.25">
      <c r="A3" s="15">
        <v>2</v>
      </c>
      <c r="B3" s="9">
        <v>0.5</v>
      </c>
      <c r="C3" s="9">
        <v>0.3</v>
      </c>
      <c r="D3" s="9">
        <v>0.5</v>
      </c>
      <c r="E3" s="9">
        <v>0.5</v>
      </c>
      <c r="F3" s="9">
        <v>0.5</v>
      </c>
      <c r="G3" s="9">
        <v>0.5</v>
      </c>
      <c r="H3" s="32">
        <v>0.7</v>
      </c>
      <c r="I3" s="16">
        <v>0.7</v>
      </c>
      <c r="J3">
        <v>0.2</v>
      </c>
    </row>
    <row r="4" spans="1:13" x14ac:dyDescent="0.25">
      <c r="A4" s="15">
        <v>3</v>
      </c>
      <c r="B4" s="9">
        <v>0.5</v>
      </c>
      <c r="C4" s="9">
        <v>0.2</v>
      </c>
      <c r="D4" s="9">
        <v>0.5</v>
      </c>
      <c r="E4" s="9">
        <v>0.5</v>
      </c>
      <c r="F4" s="9">
        <v>0.2</v>
      </c>
      <c r="G4" s="9">
        <v>0.5</v>
      </c>
      <c r="H4" s="32">
        <v>0.5</v>
      </c>
      <c r="I4" s="16">
        <v>0.7</v>
      </c>
      <c r="J4" s="39">
        <v>0.2</v>
      </c>
    </row>
    <row r="5" spans="1:13" x14ac:dyDescent="0.25">
      <c r="A5" s="15">
        <v>4</v>
      </c>
      <c r="B5" s="9">
        <v>0.5</v>
      </c>
      <c r="C5" s="9">
        <v>0.3</v>
      </c>
      <c r="D5" s="9">
        <v>0.5</v>
      </c>
      <c r="E5" s="9">
        <v>0.5</v>
      </c>
      <c r="F5" s="9">
        <v>0.3</v>
      </c>
      <c r="G5" s="9">
        <v>0</v>
      </c>
      <c r="H5" s="32">
        <v>0.7</v>
      </c>
      <c r="I5" s="16">
        <v>0.5</v>
      </c>
      <c r="J5" s="39">
        <v>0.3</v>
      </c>
    </row>
    <row r="6" spans="1:13" x14ac:dyDescent="0.25">
      <c r="A6" s="15">
        <v>5</v>
      </c>
      <c r="B6" s="9">
        <v>0.5</v>
      </c>
      <c r="C6" s="9">
        <v>0.5</v>
      </c>
      <c r="D6" s="9">
        <v>0.5</v>
      </c>
      <c r="E6" s="9">
        <v>0.2</v>
      </c>
      <c r="F6" s="9">
        <v>0.5</v>
      </c>
      <c r="G6" s="9">
        <v>0.5</v>
      </c>
      <c r="H6" s="32">
        <v>0.5</v>
      </c>
      <c r="I6" s="16">
        <v>0.5</v>
      </c>
      <c r="J6" s="39">
        <v>0.2</v>
      </c>
    </row>
    <row r="7" spans="1:13" x14ac:dyDescent="0.25">
      <c r="A7" s="15">
        <v>6</v>
      </c>
      <c r="B7" s="9">
        <v>0.5</v>
      </c>
      <c r="C7" s="9">
        <v>0.3</v>
      </c>
      <c r="D7" s="9">
        <v>0.3</v>
      </c>
      <c r="E7" s="9">
        <v>0.2</v>
      </c>
      <c r="F7" s="9">
        <v>0.5</v>
      </c>
      <c r="G7" s="9">
        <v>0.3</v>
      </c>
      <c r="H7" s="32">
        <v>0.5</v>
      </c>
      <c r="I7" s="16">
        <v>0.5</v>
      </c>
      <c r="J7" s="39">
        <v>0.2</v>
      </c>
    </row>
    <row r="8" spans="1:13" x14ac:dyDescent="0.25">
      <c r="A8" s="15">
        <v>7</v>
      </c>
      <c r="B8" s="9">
        <v>0.5</v>
      </c>
      <c r="C8" s="9">
        <v>0.3</v>
      </c>
      <c r="D8" s="9">
        <v>0.3</v>
      </c>
      <c r="E8" s="9">
        <v>0.3</v>
      </c>
      <c r="F8" s="9">
        <v>0.2</v>
      </c>
      <c r="G8" s="9">
        <v>0.5</v>
      </c>
      <c r="H8" s="32">
        <v>0</v>
      </c>
      <c r="I8" s="16">
        <v>0.5</v>
      </c>
      <c r="J8" s="39">
        <v>0.3</v>
      </c>
    </row>
    <row r="9" spans="1:13" x14ac:dyDescent="0.25">
      <c r="A9" s="15">
        <v>8</v>
      </c>
      <c r="B9" s="9">
        <v>0.5</v>
      </c>
      <c r="C9" s="9">
        <v>0.2</v>
      </c>
      <c r="D9" s="9">
        <v>0.3</v>
      </c>
      <c r="E9" s="9">
        <v>0.2</v>
      </c>
      <c r="F9" s="9">
        <v>0.3</v>
      </c>
      <c r="G9" s="9">
        <v>0.5</v>
      </c>
      <c r="H9" s="32">
        <v>0.5</v>
      </c>
      <c r="I9" s="16">
        <v>0.7</v>
      </c>
      <c r="J9" s="39">
        <v>0.3</v>
      </c>
    </row>
    <row r="10" spans="1:13" x14ac:dyDescent="0.25">
      <c r="A10" s="15">
        <v>9</v>
      </c>
      <c r="B10" s="9">
        <v>0.3</v>
      </c>
      <c r="C10" s="9">
        <v>0.2</v>
      </c>
      <c r="D10" s="9">
        <v>0.5</v>
      </c>
      <c r="E10" s="9">
        <v>0.3</v>
      </c>
      <c r="F10" s="9">
        <v>0.5</v>
      </c>
      <c r="G10" s="9">
        <v>0.3</v>
      </c>
      <c r="H10" s="32">
        <v>0.5</v>
      </c>
      <c r="I10" s="16">
        <v>0.7</v>
      </c>
      <c r="J10" s="39">
        <v>0.2</v>
      </c>
    </row>
    <row r="11" spans="1:13" ht="15.75" thickBot="1" x14ac:dyDescent="0.3">
      <c r="A11" s="17">
        <v>10</v>
      </c>
      <c r="B11" s="18">
        <v>0.5</v>
      </c>
      <c r="C11" s="18">
        <v>0.2</v>
      </c>
      <c r="D11" s="18">
        <v>0.3</v>
      </c>
      <c r="E11" s="18">
        <v>0.2</v>
      </c>
      <c r="F11" s="18">
        <v>0.5</v>
      </c>
      <c r="G11" s="18">
        <v>0</v>
      </c>
      <c r="H11" s="33">
        <v>0.7</v>
      </c>
      <c r="I11" s="19">
        <v>0.2</v>
      </c>
      <c r="J11" s="39">
        <v>0.2</v>
      </c>
    </row>
    <row r="12" spans="1:13" x14ac:dyDescent="0.25">
      <c r="A12" s="12">
        <v>11</v>
      </c>
      <c r="B12" s="13">
        <v>0.7</v>
      </c>
      <c r="C12" s="13">
        <v>0.3</v>
      </c>
      <c r="D12" s="13">
        <v>0.3</v>
      </c>
      <c r="E12" s="13">
        <v>0.7</v>
      </c>
      <c r="F12" s="13">
        <v>0.7</v>
      </c>
      <c r="G12" s="13">
        <v>0.3</v>
      </c>
      <c r="H12" s="13">
        <v>0.7</v>
      </c>
      <c r="I12" s="14">
        <v>0.7</v>
      </c>
      <c r="J12" s="39">
        <v>0.2</v>
      </c>
    </row>
    <row r="13" spans="1:13" x14ac:dyDescent="0.25">
      <c r="A13" s="15">
        <v>12</v>
      </c>
      <c r="B13" s="9">
        <v>0.5</v>
      </c>
      <c r="C13" s="9">
        <v>0.2</v>
      </c>
      <c r="D13" s="9">
        <v>0.3</v>
      </c>
      <c r="E13" s="9">
        <v>0.5</v>
      </c>
      <c r="F13" s="9">
        <v>0.7</v>
      </c>
      <c r="G13" s="9">
        <v>0.2</v>
      </c>
      <c r="H13" s="9">
        <v>0.5</v>
      </c>
      <c r="I13" s="16">
        <v>0.7</v>
      </c>
      <c r="J13" s="39">
        <v>0.2</v>
      </c>
    </row>
    <row r="14" spans="1:13" x14ac:dyDescent="0.25">
      <c r="A14" s="15">
        <v>13</v>
      </c>
      <c r="B14" s="9">
        <v>0.3</v>
      </c>
      <c r="C14" s="9">
        <v>0.2</v>
      </c>
      <c r="D14" s="9">
        <v>0.3</v>
      </c>
      <c r="E14" s="9">
        <v>0.5</v>
      </c>
      <c r="F14" s="9">
        <v>0.5</v>
      </c>
      <c r="G14" s="9">
        <v>0.7</v>
      </c>
      <c r="H14" s="9">
        <v>0.5</v>
      </c>
      <c r="I14" s="16">
        <v>0.5</v>
      </c>
      <c r="J14" s="39">
        <v>0.2</v>
      </c>
    </row>
    <row r="15" spans="1:13" x14ac:dyDescent="0.25">
      <c r="A15" s="15">
        <v>14</v>
      </c>
      <c r="B15" s="9">
        <v>0.3</v>
      </c>
      <c r="C15" s="9">
        <v>0.2</v>
      </c>
      <c r="D15" s="9">
        <v>0.3</v>
      </c>
      <c r="E15" s="9">
        <v>0.5</v>
      </c>
      <c r="F15" s="9">
        <v>0.5</v>
      </c>
      <c r="G15" s="9">
        <v>0.2</v>
      </c>
      <c r="H15" s="9">
        <v>0.5</v>
      </c>
      <c r="I15" s="37">
        <v>0.5</v>
      </c>
      <c r="J15" s="39">
        <v>0.3</v>
      </c>
    </row>
    <row r="16" spans="1:13" x14ac:dyDescent="0.25">
      <c r="A16" s="15">
        <v>15</v>
      </c>
      <c r="B16" s="9">
        <v>0.3</v>
      </c>
      <c r="C16" s="9">
        <v>0.3</v>
      </c>
      <c r="D16" s="9">
        <v>0.5</v>
      </c>
      <c r="E16" s="9">
        <v>0.3</v>
      </c>
      <c r="F16" s="9">
        <v>0.7</v>
      </c>
      <c r="G16" s="9">
        <v>0.9</v>
      </c>
      <c r="H16" s="9">
        <v>0.5</v>
      </c>
      <c r="I16" s="16">
        <v>0.5</v>
      </c>
      <c r="J16" s="39">
        <v>0.2</v>
      </c>
    </row>
    <row r="17" spans="1:10" x14ac:dyDescent="0.25">
      <c r="A17" s="15">
        <v>16</v>
      </c>
      <c r="B17" s="9">
        <v>0.3</v>
      </c>
      <c r="C17" s="9">
        <v>0.3</v>
      </c>
      <c r="D17" s="9">
        <v>0.5</v>
      </c>
      <c r="E17" s="9">
        <v>0.5</v>
      </c>
      <c r="F17" s="9">
        <v>0.3</v>
      </c>
      <c r="G17" s="9">
        <v>0.9</v>
      </c>
      <c r="H17" s="9">
        <v>0.5</v>
      </c>
      <c r="I17" s="16">
        <v>0.5</v>
      </c>
      <c r="J17" s="39">
        <v>0.3</v>
      </c>
    </row>
    <row r="18" spans="1:10" x14ac:dyDescent="0.25">
      <c r="A18" s="15">
        <v>17</v>
      </c>
      <c r="B18" s="9">
        <v>0.3</v>
      </c>
      <c r="C18" s="9">
        <v>0.5</v>
      </c>
      <c r="D18" s="9">
        <v>0.3</v>
      </c>
      <c r="E18" s="9">
        <v>0.5</v>
      </c>
      <c r="F18" s="9">
        <v>0.3</v>
      </c>
      <c r="G18" s="9">
        <v>0.2</v>
      </c>
      <c r="H18" s="9">
        <v>0.3</v>
      </c>
      <c r="I18" s="16">
        <v>0.2</v>
      </c>
      <c r="J18" s="39">
        <v>0.3</v>
      </c>
    </row>
    <row r="19" spans="1:10" x14ac:dyDescent="0.25">
      <c r="A19" s="15">
        <v>18</v>
      </c>
      <c r="B19" s="9">
        <v>0.2</v>
      </c>
      <c r="C19" s="9">
        <v>0.7</v>
      </c>
      <c r="D19" s="9">
        <v>0.3</v>
      </c>
      <c r="E19" s="9">
        <v>0.5</v>
      </c>
      <c r="F19" s="9">
        <v>0.3</v>
      </c>
      <c r="G19" s="9">
        <v>0.9</v>
      </c>
      <c r="H19" s="9">
        <v>0.3</v>
      </c>
      <c r="I19" s="16">
        <v>0.2</v>
      </c>
      <c r="J19" s="39">
        <v>0.5</v>
      </c>
    </row>
    <row r="20" spans="1:10" x14ac:dyDescent="0.25">
      <c r="A20" s="15">
        <v>19</v>
      </c>
      <c r="B20" s="9">
        <v>0.3</v>
      </c>
      <c r="C20" s="9">
        <v>0.2</v>
      </c>
      <c r="D20" s="9">
        <v>0.3</v>
      </c>
      <c r="E20" s="9">
        <v>0.5</v>
      </c>
      <c r="F20" s="9">
        <v>0.5</v>
      </c>
      <c r="G20" s="9">
        <v>0.9</v>
      </c>
      <c r="H20" s="9">
        <v>0.5</v>
      </c>
      <c r="I20" s="16">
        <v>0.7</v>
      </c>
      <c r="J20" s="39">
        <v>0.3</v>
      </c>
    </row>
    <row r="21" spans="1:10" ht="15.75" thickBot="1" x14ac:dyDescent="0.3">
      <c r="A21" s="17">
        <v>20</v>
      </c>
      <c r="B21" s="18">
        <v>0.3</v>
      </c>
      <c r="C21" s="18">
        <v>0.2</v>
      </c>
      <c r="D21" s="18">
        <v>0.2</v>
      </c>
      <c r="E21" s="18">
        <v>0.5</v>
      </c>
      <c r="F21" s="18">
        <v>0.3</v>
      </c>
      <c r="G21" s="18">
        <v>0.3</v>
      </c>
      <c r="H21" s="18">
        <v>0.7</v>
      </c>
      <c r="I21" s="19">
        <v>0.5</v>
      </c>
      <c r="J21" s="39">
        <v>0.3</v>
      </c>
    </row>
    <row r="22" spans="1:10" x14ac:dyDescent="0.25">
      <c r="A22" s="12">
        <v>21</v>
      </c>
      <c r="B22" s="13">
        <v>0.2</v>
      </c>
      <c r="C22" s="13">
        <v>0.2</v>
      </c>
      <c r="D22" s="13">
        <v>0.2</v>
      </c>
      <c r="E22" s="13">
        <v>0.7</v>
      </c>
      <c r="F22" s="13">
        <v>0.3</v>
      </c>
      <c r="G22" s="13">
        <v>0.5</v>
      </c>
      <c r="H22" s="13">
        <v>0</v>
      </c>
      <c r="I22" s="14">
        <v>0.2</v>
      </c>
      <c r="J22" s="39">
        <v>0.2</v>
      </c>
    </row>
    <row r="23" spans="1:10" x14ac:dyDescent="0.25">
      <c r="A23" s="15">
        <v>22</v>
      </c>
      <c r="B23" s="9">
        <v>0.5</v>
      </c>
      <c r="C23" s="9">
        <v>0.2</v>
      </c>
      <c r="D23" s="9">
        <v>0.2</v>
      </c>
      <c r="E23" s="9">
        <v>0.5</v>
      </c>
      <c r="F23" s="9">
        <v>0.3</v>
      </c>
      <c r="G23" s="9">
        <v>0.7</v>
      </c>
      <c r="H23" s="9">
        <v>0.7</v>
      </c>
      <c r="I23" s="16">
        <v>0.7</v>
      </c>
      <c r="J23" s="39">
        <v>0.3</v>
      </c>
    </row>
    <row r="24" spans="1:10" x14ac:dyDescent="0.25">
      <c r="A24" s="15">
        <v>23</v>
      </c>
      <c r="B24" s="9">
        <v>0.3</v>
      </c>
      <c r="C24" s="9">
        <v>0.3</v>
      </c>
      <c r="D24" s="9">
        <v>0.3</v>
      </c>
      <c r="E24" s="9">
        <v>0.5</v>
      </c>
      <c r="F24" s="9">
        <v>0.5</v>
      </c>
      <c r="G24" s="9">
        <v>0.3</v>
      </c>
      <c r="H24" s="9">
        <v>0.7</v>
      </c>
      <c r="I24" s="16">
        <v>0.5</v>
      </c>
      <c r="J24" s="39">
        <v>0.2</v>
      </c>
    </row>
    <row r="25" spans="1:10" x14ac:dyDescent="0.25">
      <c r="A25" s="15">
        <v>24</v>
      </c>
      <c r="B25" s="9">
        <v>0.3</v>
      </c>
      <c r="C25" s="9">
        <v>0.3</v>
      </c>
      <c r="D25" s="9">
        <v>0.5</v>
      </c>
      <c r="E25" s="9">
        <v>0.5</v>
      </c>
      <c r="F25" s="9">
        <v>0.5</v>
      </c>
      <c r="G25" s="9">
        <v>0.3</v>
      </c>
      <c r="H25" s="9">
        <v>0.7</v>
      </c>
      <c r="I25" s="16">
        <v>0.5</v>
      </c>
      <c r="J25" s="39">
        <v>0.2</v>
      </c>
    </row>
    <row r="26" spans="1:10" x14ac:dyDescent="0.25">
      <c r="A26" s="15">
        <v>25</v>
      </c>
      <c r="B26" s="9">
        <v>0.3</v>
      </c>
      <c r="C26" s="9">
        <v>0</v>
      </c>
      <c r="D26" s="9">
        <v>0.5</v>
      </c>
      <c r="E26" s="9">
        <v>0.5</v>
      </c>
      <c r="F26" s="9">
        <v>0.5</v>
      </c>
      <c r="G26" s="9">
        <v>0.7</v>
      </c>
      <c r="H26" s="9">
        <v>0.7</v>
      </c>
      <c r="I26" s="16">
        <v>0.7</v>
      </c>
      <c r="J26" s="39">
        <v>0.3</v>
      </c>
    </row>
    <row r="27" spans="1:10" x14ac:dyDescent="0.25">
      <c r="A27" s="15">
        <v>26</v>
      </c>
      <c r="B27" s="9">
        <v>0.5</v>
      </c>
      <c r="C27" s="9">
        <v>0.3</v>
      </c>
      <c r="D27" s="9">
        <v>0.3</v>
      </c>
      <c r="E27" s="9">
        <v>0.3</v>
      </c>
      <c r="F27" s="9">
        <v>0.3</v>
      </c>
      <c r="G27" s="9">
        <v>0.7</v>
      </c>
      <c r="H27" s="9">
        <v>0.9</v>
      </c>
      <c r="I27" s="16">
        <v>0.5</v>
      </c>
      <c r="J27" s="39">
        <v>0.2</v>
      </c>
    </row>
    <row r="28" spans="1:10" x14ac:dyDescent="0.25">
      <c r="A28" s="15">
        <v>27</v>
      </c>
      <c r="B28" s="9">
        <v>0.7</v>
      </c>
      <c r="C28" s="9">
        <v>0.2</v>
      </c>
      <c r="D28" s="9">
        <v>0.3</v>
      </c>
      <c r="E28" s="9">
        <v>0.5</v>
      </c>
      <c r="F28" s="9">
        <v>0.3</v>
      </c>
      <c r="G28" s="9">
        <v>0.9</v>
      </c>
      <c r="H28" s="9">
        <v>0.7</v>
      </c>
      <c r="I28" s="16">
        <v>0.5</v>
      </c>
      <c r="J28" s="39">
        <v>0.2</v>
      </c>
    </row>
    <row r="29" spans="1:10" x14ac:dyDescent="0.25">
      <c r="A29" s="15">
        <v>28</v>
      </c>
      <c r="B29" s="9">
        <v>0.5</v>
      </c>
      <c r="C29" s="9">
        <v>0.2</v>
      </c>
      <c r="D29" s="9">
        <v>0.2</v>
      </c>
      <c r="E29" s="9">
        <v>0.3</v>
      </c>
      <c r="F29" s="9">
        <v>0.5</v>
      </c>
      <c r="G29" s="9">
        <v>0.5</v>
      </c>
      <c r="H29" s="9">
        <v>0.7</v>
      </c>
      <c r="I29" s="16">
        <v>0.5</v>
      </c>
      <c r="J29" s="39">
        <v>0.2</v>
      </c>
    </row>
    <row r="30" spans="1:10" x14ac:dyDescent="0.25">
      <c r="A30" s="15">
        <v>29</v>
      </c>
      <c r="B30" s="9">
        <v>0.5</v>
      </c>
      <c r="C30" s="9">
        <v>0.3</v>
      </c>
      <c r="D30" s="9">
        <v>0.3</v>
      </c>
      <c r="E30" s="9">
        <v>0.5</v>
      </c>
      <c r="F30" s="9">
        <v>0.3</v>
      </c>
      <c r="G30" s="9">
        <v>0.9</v>
      </c>
      <c r="H30" s="9">
        <v>0.5</v>
      </c>
      <c r="I30" s="16">
        <v>0.7</v>
      </c>
      <c r="J30" s="39">
        <v>0.3</v>
      </c>
    </row>
    <row r="31" spans="1:10" ht="15.75" thickBot="1" x14ac:dyDescent="0.3">
      <c r="A31" s="17">
        <v>30</v>
      </c>
      <c r="B31" s="18">
        <v>0.5</v>
      </c>
      <c r="C31" s="18">
        <v>0.3</v>
      </c>
      <c r="D31" s="18">
        <v>0.2</v>
      </c>
      <c r="E31" s="18">
        <v>0.5</v>
      </c>
      <c r="F31" s="18">
        <v>0.2</v>
      </c>
      <c r="G31" s="18">
        <v>0.5</v>
      </c>
      <c r="H31" s="18">
        <v>0.9</v>
      </c>
      <c r="I31" s="19">
        <v>0.7</v>
      </c>
      <c r="J31" s="39">
        <v>0.3</v>
      </c>
    </row>
    <row r="32" spans="1:10" x14ac:dyDescent="0.25">
      <c r="A32" s="12">
        <v>31</v>
      </c>
      <c r="B32" s="13">
        <v>0.5</v>
      </c>
      <c r="C32" s="13">
        <v>0.3</v>
      </c>
      <c r="D32" s="13">
        <v>0.3</v>
      </c>
      <c r="E32" s="13">
        <v>0.5</v>
      </c>
      <c r="F32" s="13">
        <v>0.3</v>
      </c>
      <c r="G32" s="13">
        <v>0.2</v>
      </c>
      <c r="H32" s="13">
        <v>0.7</v>
      </c>
      <c r="I32" s="14">
        <v>0.2</v>
      </c>
      <c r="J32" s="39">
        <v>0.5</v>
      </c>
    </row>
    <row r="33" spans="1:10" x14ac:dyDescent="0.25">
      <c r="A33" s="15">
        <v>32</v>
      </c>
      <c r="B33" s="9">
        <v>0.7</v>
      </c>
      <c r="C33" s="9">
        <v>0.2</v>
      </c>
      <c r="D33" s="9">
        <v>0.3</v>
      </c>
      <c r="E33" s="9">
        <v>0.7</v>
      </c>
      <c r="F33" s="9">
        <v>0.5</v>
      </c>
      <c r="G33" s="9">
        <v>0.3</v>
      </c>
      <c r="H33" s="9">
        <v>0.5</v>
      </c>
      <c r="I33" s="16">
        <v>0.5</v>
      </c>
      <c r="J33" s="39">
        <v>0.5</v>
      </c>
    </row>
    <row r="34" spans="1:10" x14ac:dyDescent="0.25">
      <c r="A34" s="15">
        <v>33</v>
      </c>
      <c r="B34" s="9">
        <v>0.5</v>
      </c>
      <c r="C34" s="9">
        <v>0.3</v>
      </c>
      <c r="D34" s="9">
        <v>0.3</v>
      </c>
      <c r="E34" s="9">
        <v>0.3</v>
      </c>
      <c r="F34" s="9">
        <v>0.3</v>
      </c>
      <c r="G34" s="9">
        <v>0.3</v>
      </c>
      <c r="H34" s="9">
        <v>0.5</v>
      </c>
      <c r="I34" s="16">
        <v>0.5</v>
      </c>
      <c r="J34" s="39">
        <v>0.3</v>
      </c>
    </row>
    <row r="35" spans="1:10" x14ac:dyDescent="0.25">
      <c r="A35" s="15">
        <v>34</v>
      </c>
      <c r="B35" s="9">
        <v>0.2</v>
      </c>
      <c r="C35" s="9">
        <v>0.5</v>
      </c>
      <c r="D35" s="9">
        <v>0.2</v>
      </c>
      <c r="E35" s="9">
        <v>0.5</v>
      </c>
      <c r="F35" s="9">
        <v>0.3</v>
      </c>
      <c r="G35" s="9">
        <v>0.5</v>
      </c>
      <c r="H35" s="9">
        <v>0.5</v>
      </c>
      <c r="I35" s="16">
        <v>0.3</v>
      </c>
      <c r="J35" s="39">
        <v>0.2</v>
      </c>
    </row>
    <row r="36" spans="1:10" x14ac:dyDescent="0.25">
      <c r="A36" s="15">
        <v>35</v>
      </c>
      <c r="B36" s="9">
        <v>0.2</v>
      </c>
      <c r="C36" s="9">
        <v>0.2</v>
      </c>
      <c r="D36" s="9">
        <v>0.2</v>
      </c>
      <c r="E36" s="9">
        <v>0.5</v>
      </c>
      <c r="F36" s="9">
        <v>0.5</v>
      </c>
      <c r="G36" s="9">
        <v>0.5</v>
      </c>
      <c r="H36" s="9">
        <v>0.3</v>
      </c>
      <c r="I36" s="16">
        <v>0.5</v>
      </c>
      <c r="J36" s="39">
        <v>0.2</v>
      </c>
    </row>
    <row r="37" spans="1:10" x14ac:dyDescent="0.25">
      <c r="A37" s="15">
        <v>36</v>
      </c>
      <c r="B37" s="9">
        <v>0.5</v>
      </c>
      <c r="C37" s="9">
        <v>0.2</v>
      </c>
      <c r="D37" s="9">
        <v>0.2</v>
      </c>
      <c r="E37" s="9">
        <v>0.5</v>
      </c>
      <c r="F37" s="9">
        <v>0.3</v>
      </c>
      <c r="G37" s="9">
        <v>0.5</v>
      </c>
      <c r="H37" s="9">
        <v>0.5</v>
      </c>
      <c r="I37" s="16">
        <v>0.3</v>
      </c>
      <c r="J37" s="39">
        <v>0.2</v>
      </c>
    </row>
    <row r="38" spans="1:10" x14ac:dyDescent="0.25">
      <c r="A38" s="15">
        <v>37</v>
      </c>
      <c r="B38" s="9">
        <v>0.5</v>
      </c>
      <c r="C38" s="9">
        <v>0.2</v>
      </c>
      <c r="D38" s="9">
        <v>0.2</v>
      </c>
      <c r="E38" s="9">
        <v>0.5</v>
      </c>
      <c r="F38" s="9">
        <v>0.7</v>
      </c>
      <c r="G38" s="9">
        <v>0.5</v>
      </c>
      <c r="H38" s="9">
        <v>0.5</v>
      </c>
      <c r="I38" s="16">
        <v>0.3</v>
      </c>
      <c r="J38" s="39">
        <v>0.3</v>
      </c>
    </row>
    <row r="39" spans="1:10" x14ac:dyDescent="0.25">
      <c r="A39" s="15">
        <v>38</v>
      </c>
      <c r="B39" s="9">
        <v>0.3</v>
      </c>
      <c r="C39" s="9">
        <v>0.2</v>
      </c>
      <c r="D39" s="9">
        <v>0.2</v>
      </c>
      <c r="E39" s="9">
        <v>0.7</v>
      </c>
      <c r="F39" s="9">
        <v>0.3</v>
      </c>
      <c r="G39" s="9">
        <v>0.5</v>
      </c>
      <c r="H39" s="9">
        <v>0.5</v>
      </c>
      <c r="I39" s="16">
        <v>0.3</v>
      </c>
      <c r="J39" s="39">
        <v>0.2</v>
      </c>
    </row>
    <row r="40" spans="1:10" x14ac:dyDescent="0.25">
      <c r="A40" s="15">
        <v>39</v>
      </c>
      <c r="B40" s="9">
        <v>0.5</v>
      </c>
      <c r="C40" s="9">
        <v>0</v>
      </c>
      <c r="D40" s="9">
        <v>0.3</v>
      </c>
      <c r="E40" s="9">
        <v>0.5</v>
      </c>
      <c r="F40" s="9">
        <v>0.3</v>
      </c>
      <c r="G40" s="9">
        <v>0.5</v>
      </c>
      <c r="H40" s="9">
        <v>0.5</v>
      </c>
      <c r="I40" s="16">
        <v>0.5</v>
      </c>
      <c r="J40" s="39">
        <v>0.3</v>
      </c>
    </row>
    <row r="41" spans="1:10" ht="15.75" thickBot="1" x14ac:dyDescent="0.3">
      <c r="A41" s="17">
        <v>40</v>
      </c>
      <c r="B41" s="18">
        <v>0.3</v>
      </c>
      <c r="C41" s="18">
        <v>0.2</v>
      </c>
      <c r="D41" s="18">
        <v>0.2</v>
      </c>
      <c r="E41" s="18">
        <v>0.3</v>
      </c>
      <c r="F41" s="18">
        <v>0.3</v>
      </c>
      <c r="G41" s="18">
        <v>0.2</v>
      </c>
      <c r="H41" s="18">
        <v>0.3</v>
      </c>
      <c r="I41" s="19">
        <v>0.3</v>
      </c>
      <c r="J41" s="39">
        <v>0.3</v>
      </c>
    </row>
    <row r="42" spans="1:10" x14ac:dyDescent="0.25">
      <c r="A42" s="12">
        <v>41</v>
      </c>
      <c r="B42" s="13">
        <v>0.3</v>
      </c>
      <c r="C42" s="13">
        <v>0.3</v>
      </c>
      <c r="D42" s="13">
        <v>0.3</v>
      </c>
      <c r="E42" s="13">
        <v>0.3</v>
      </c>
      <c r="F42" s="13">
        <v>0.3</v>
      </c>
      <c r="G42" s="13">
        <v>0.2</v>
      </c>
      <c r="H42" s="13">
        <v>0.5</v>
      </c>
      <c r="I42" s="14">
        <v>0.3</v>
      </c>
      <c r="J42" s="39">
        <v>0.5</v>
      </c>
    </row>
    <row r="43" spans="1:10" x14ac:dyDescent="0.25">
      <c r="A43" s="15">
        <v>42</v>
      </c>
      <c r="B43" s="9">
        <v>0.5</v>
      </c>
      <c r="C43" s="9">
        <v>0.2</v>
      </c>
      <c r="D43" s="9">
        <v>0.3</v>
      </c>
      <c r="E43" s="9">
        <v>0.5</v>
      </c>
      <c r="F43" s="9">
        <v>0.5</v>
      </c>
      <c r="G43" s="9">
        <v>0.5</v>
      </c>
      <c r="H43" s="9">
        <v>0.2</v>
      </c>
      <c r="I43" s="16">
        <v>0.2</v>
      </c>
      <c r="J43" s="39">
        <v>0.5</v>
      </c>
    </row>
    <row r="44" spans="1:10" x14ac:dyDescent="0.25">
      <c r="A44" s="15">
        <v>43</v>
      </c>
      <c r="B44" s="9">
        <v>0.2</v>
      </c>
      <c r="C44" s="9">
        <v>0.2</v>
      </c>
      <c r="D44" s="9">
        <v>0.3</v>
      </c>
      <c r="E44" s="9">
        <v>0.3</v>
      </c>
      <c r="F44" s="9">
        <v>0.3</v>
      </c>
      <c r="G44" s="9">
        <v>0.5</v>
      </c>
      <c r="H44" s="9">
        <v>0.2</v>
      </c>
      <c r="I44" s="16">
        <v>0.3</v>
      </c>
      <c r="J44" s="39">
        <v>0.5</v>
      </c>
    </row>
    <row r="45" spans="1:10" x14ac:dyDescent="0.25">
      <c r="A45" s="15">
        <v>44</v>
      </c>
      <c r="B45" s="9">
        <v>0.2</v>
      </c>
      <c r="C45" s="9">
        <v>0.2</v>
      </c>
      <c r="D45" s="9">
        <v>0.2</v>
      </c>
      <c r="E45" s="9">
        <v>0.3</v>
      </c>
      <c r="F45" s="9">
        <v>0.5</v>
      </c>
      <c r="G45" s="9">
        <v>0.2</v>
      </c>
      <c r="H45" s="9">
        <v>0.3</v>
      </c>
      <c r="I45" s="16">
        <v>0.7</v>
      </c>
      <c r="J45" s="39">
        <v>0.5</v>
      </c>
    </row>
    <row r="46" spans="1:10" x14ac:dyDescent="0.25">
      <c r="A46" s="15">
        <v>45</v>
      </c>
      <c r="B46" s="9">
        <v>0.5</v>
      </c>
      <c r="C46" s="9">
        <v>0.3</v>
      </c>
      <c r="D46" s="9">
        <v>0.2</v>
      </c>
      <c r="E46" s="9">
        <v>0.5</v>
      </c>
      <c r="F46" s="9"/>
      <c r="G46" s="9">
        <v>0.3</v>
      </c>
      <c r="H46" s="9">
        <v>0.3</v>
      </c>
      <c r="I46" s="16">
        <v>0.5</v>
      </c>
      <c r="J46" s="39">
        <v>0.3</v>
      </c>
    </row>
    <row r="47" spans="1:10" x14ac:dyDescent="0.25">
      <c r="A47" s="15">
        <v>46</v>
      </c>
      <c r="B47" s="9">
        <v>0.2</v>
      </c>
      <c r="C47" s="9">
        <v>0.3</v>
      </c>
      <c r="D47" s="9">
        <v>0.2</v>
      </c>
      <c r="E47" s="9">
        <v>0.2</v>
      </c>
      <c r="F47" s="9"/>
      <c r="G47" s="9">
        <v>0</v>
      </c>
      <c r="H47" s="9">
        <v>0.3</v>
      </c>
      <c r="I47" s="16">
        <v>0.7</v>
      </c>
      <c r="J47" s="39">
        <v>0.3</v>
      </c>
    </row>
    <row r="48" spans="1:10" x14ac:dyDescent="0.25">
      <c r="A48" s="15">
        <v>47</v>
      </c>
      <c r="B48" s="9">
        <v>0.3</v>
      </c>
      <c r="C48" s="9">
        <v>0.3</v>
      </c>
      <c r="D48" s="9">
        <v>0.2</v>
      </c>
      <c r="E48" s="9">
        <v>0.5</v>
      </c>
      <c r="F48" s="9"/>
      <c r="G48" s="9">
        <v>0.3</v>
      </c>
      <c r="H48" s="9">
        <v>0.5</v>
      </c>
      <c r="I48" s="16">
        <v>0.3</v>
      </c>
      <c r="J48" s="39">
        <v>0.3</v>
      </c>
    </row>
    <row r="49" spans="1:10" x14ac:dyDescent="0.25">
      <c r="A49" s="15">
        <v>48</v>
      </c>
      <c r="B49" s="9">
        <v>0.9</v>
      </c>
      <c r="C49" s="9">
        <v>0.2</v>
      </c>
      <c r="D49" s="9">
        <v>0.2</v>
      </c>
      <c r="E49" s="9">
        <v>0.3</v>
      </c>
      <c r="F49" s="9"/>
      <c r="G49" s="9">
        <v>0.2</v>
      </c>
      <c r="H49" s="9">
        <v>0.7</v>
      </c>
      <c r="I49" s="16">
        <v>0.3</v>
      </c>
      <c r="J49" s="39">
        <v>0.3</v>
      </c>
    </row>
    <row r="50" spans="1:10" x14ac:dyDescent="0.25">
      <c r="A50" s="15">
        <v>49</v>
      </c>
      <c r="B50" s="9">
        <v>0.9</v>
      </c>
      <c r="C50" s="9">
        <v>0.3</v>
      </c>
      <c r="D50" s="9">
        <v>0.2</v>
      </c>
      <c r="E50" s="9">
        <v>0.3</v>
      </c>
      <c r="F50" s="9"/>
      <c r="G50" s="9">
        <v>0.3</v>
      </c>
      <c r="H50" s="9">
        <v>0.3</v>
      </c>
      <c r="I50" s="16">
        <v>0.5</v>
      </c>
      <c r="J50" s="39">
        <v>0.3</v>
      </c>
    </row>
    <row r="51" spans="1:10" ht="15.75" thickBot="1" x14ac:dyDescent="0.3">
      <c r="A51" s="17">
        <v>50</v>
      </c>
      <c r="B51" s="18">
        <v>0.9</v>
      </c>
      <c r="C51" s="18">
        <v>0.2</v>
      </c>
      <c r="D51" s="18">
        <v>0.3</v>
      </c>
      <c r="E51" s="18">
        <v>0.5</v>
      </c>
      <c r="F51" s="18"/>
      <c r="G51" s="18">
        <v>0.3</v>
      </c>
      <c r="H51" s="18">
        <v>0.5</v>
      </c>
      <c r="I51" s="19">
        <v>0.7</v>
      </c>
      <c r="J51" s="39">
        <v>0.2</v>
      </c>
    </row>
    <row r="52" spans="1:10" x14ac:dyDescent="0.25">
      <c r="A52" s="5"/>
    </row>
    <row r="53" spans="1:10" x14ac:dyDescent="0.25">
      <c r="A53" s="22" t="s">
        <v>52</v>
      </c>
      <c r="B53" s="23">
        <f t="shared" ref="B53:J53" si="0">AVERAGE(B2:B51)</f>
        <v>0.44199999999999995</v>
      </c>
      <c r="C53" s="23">
        <f t="shared" si="0"/>
        <v>0.25799999999999995</v>
      </c>
      <c r="D53" s="23">
        <f t="shared" si="0"/>
        <v>0.30599999999999994</v>
      </c>
      <c r="E53" s="23">
        <f t="shared" si="0"/>
        <v>0.43400000000000005</v>
      </c>
      <c r="F53" s="23">
        <f t="shared" si="0"/>
        <v>0.4022727272727275</v>
      </c>
      <c r="G53" s="23">
        <f t="shared" si="0"/>
        <v>0.43800000000000006</v>
      </c>
      <c r="H53" s="23">
        <f t="shared" si="0"/>
        <v>0.504</v>
      </c>
      <c r="I53" s="23">
        <f t="shared" si="0"/>
        <v>0.48799999999999999</v>
      </c>
      <c r="J53" s="23">
        <f t="shared" si="0"/>
        <v>0.28400000000000003</v>
      </c>
    </row>
    <row r="54" spans="1:10" x14ac:dyDescent="0.25">
      <c r="A54" s="22"/>
      <c r="B54" s="23"/>
      <c r="C54" s="23"/>
      <c r="D54" s="23"/>
      <c r="E54" s="23"/>
      <c r="F54" s="23"/>
      <c r="G54" s="23"/>
      <c r="H54" s="23"/>
      <c r="I54" s="23"/>
      <c r="J54" s="23"/>
    </row>
    <row r="55" spans="1:10" s="27" customFormat="1" x14ac:dyDescent="0.25">
      <c r="A55" s="22">
        <v>0</v>
      </c>
      <c r="B55" s="23">
        <f t="shared" ref="B55:J55" si="1">COUNTIF(B2:B51,0)</f>
        <v>0</v>
      </c>
      <c r="C55" s="23">
        <f t="shared" si="1"/>
        <v>2</v>
      </c>
      <c r="D55" s="23">
        <f t="shared" si="1"/>
        <v>0</v>
      </c>
      <c r="E55" s="23">
        <f t="shared" si="1"/>
        <v>0</v>
      </c>
      <c r="F55" s="23">
        <f t="shared" si="1"/>
        <v>0</v>
      </c>
      <c r="G55" s="23">
        <f t="shared" si="1"/>
        <v>3</v>
      </c>
      <c r="H55" s="23">
        <f t="shared" si="1"/>
        <v>2</v>
      </c>
      <c r="I55" s="23">
        <f t="shared" si="1"/>
        <v>0</v>
      </c>
      <c r="J55" s="23">
        <f t="shared" si="1"/>
        <v>0</v>
      </c>
    </row>
    <row r="56" spans="1:10" s="27" customFormat="1" x14ac:dyDescent="0.25">
      <c r="A56" s="22">
        <v>0.1</v>
      </c>
      <c r="B56" s="23">
        <f t="shared" ref="B56:J56" si="2">COUNTIF(B2:B51,0.1)</f>
        <v>0</v>
      </c>
      <c r="C56" s="23">
        <f t="shared" si="2"/>
        <v>0</v>
      </c>
      <c r="D56" s="23">
        <f t="shared" si="2"/>
        <v>0</v>
      </c>
      <c r="E56" s="23">
        <f t="shared" si="2"/>
        <v>0</v>
      </c>
      <c r="F56" s="23">
        <f t="shared" si="2"/>
        <v>0</v>
      </c>
      <c r="G56" s="23">
        <f t="shared" si="2"/>
        <v>0</v>
      </c>
      <c r="H56" s="23">
        <f t="shared" si="2"/>
        <v>0</v>
      </c>
      <c r="I56" s="23">
        <f t="shared" si="2"/>
        <v>0</v>
      </c>
      <c r="J56" s="23">
        <f t="shared" si="2"/>
        <v>0</v>
      </c>
    </row>
    <row r="57" spans="1:10" s="27" customFormat="1" x14ac:dyDescent="0.25">
      <c r="A57" s="22">
        <v>0.2</v>
      </c>
      <c r="B57" s="23">
        <f t="shared" ref="B57:J57" si="3">COUNTIF(B2:B51,0.2)</f>
        <v>7</v>
      </c>
      <c r="C57" s="25">
        <f t="shared" si="3"/>
        <v>25</v>
      </c>
      <c r="D57" s="23">
        <f t="shared" si="3"/>
        <v>17</v>
      </c>
      <c r="E57" s="23">
        <f t="shared" si="3"/>
        <v>5</v>
      </c>
      <c r="F57" s="23">
        <f t="shared" si="3"/>
        <v>3</v>
      </c>
      <c r="G57" s="23">
        <f t="shared" si="3"/>
        <v>8</v>
      </c>
      <c r="H57" s="23">
        <f t="shared" si="3"/>
        <v>2</v>
      </c>
      <c r="I57" s="23">
        <f t="shared" si="3"/>
        <v>6</v>
      </c>
      <c r="J57" s="23">
        <f t="shared" si="3"/>
        <v>22</v>
      </c>
    </row>
    <row r="58" spans="1:10" s="27" customFormat="1" x14ac:dyDescent="0.25">
      <c r="A58" s="22">
        <v>0.3</v>
      </c>
      <c r="B58" s="23">
        <f t="shared" ref="B58:J58" si="4">COUNTIF(B2:B51,0.3)</f>
        <v>15</v>
      </c>
      <c r="C58" s="23">
        <f t="shared" si="4"/>
        <v>19</v>
      </c>
      <c r="D58" s="23">
        <f t="shared" si="4"/>
        <v>23</v>
      </c>
      <c r="E58" s="23">
        <f t="shared" si="4"/>
        <v>13</v>
      </c>
      <c r="F58" s="23">
        <f t="shared" si="4"/>
        <v>21</v>
      </c>
      <c r="G58" s="23">
        <f t="shared" si="4"/>
        <v>12</v>
      </c>
      <c r="H58" s="23">
        <f t="shared" si="4"/>
        <v>8</v>
      </c>
      <c r="I58" s="23">
        <f t="shared" si="4"/>
        <v>9</v>
      </c>
      <c r="J58" s="23">
        <f t="shared" si="4"/>
        <v>21</v>
      </c>
    </row>
    <row r="59" spans="1:10" s="25" customFormat="1" x14ac:dyDescent="0.25">
      <c r="A59" s="22">
        <v>0.5</v>
      </c>
      <c r="B59" s="23">
        <f t="shared" ref="B59:J59" si="5">COUNTIF(B2:B51,0.5)</f>
        <v>21</v>
      </c>
      <c r="C59" s="23">
        <f t="shared" si="5"/>
        <v>3</v>
      </c>
      <c r="D59" s="23">
        <f t="shared" si="5"/>
        <v>10</v>
      </c>
      <c r="E59" s="25">
        <f t="shared" si="5"/>
        <v>28</v>
      </c>
      <c r="F59" s="23">
        <f t="shared" si="5"/>
        <v>16</v>
      </c>
      <c r="G59" s="23">
        <f t="shared" si="5"/>
        <v>17</v>
      </c>
      <c r="H59" s="23">
        <f t="shared" si="5"/>
        <v>23</v>
      </c>
      <c r="I59" s="23">
        <f t="shared" si="5"/>
        <v>20</v>
      </c>
      <c r="J59" s="23">
        <f t="shared" si="5"/>
        <v>7</v>
      </c>
    </row>
    <row r="60" spans="1:10" s="25" customFormat="1" x14ac:dyDescent="0.25">
      <c r="A60" s="22">
        <v>0.7</v>
      </c>
      <c r="B60" s="23">
        <f t="shared" ref="B60:J60" si="6">COUNTIF(B2:B51,0.7)</f>
        <v>3</v>
      </c>
      <c r="C60" s="23">
        <f t="shared" si="6"/>
        <v>1</v>
      </c>
      <c r="D60" s="23">
        <f t="shared" si="6"/>
        <v>0</v>
      </c>
      <c r="E60" s="23">
        <f t="shared" si="6"/>
        <v>4</v>
      </c>
      <c r="F60" s="23">
        <f t="shared" si="6"/>
        <v>4</v>
      </c>
      <c r="G60" s="23">
        <f t="shared" si="6"/>
        <v>4</v>
      </c>
      <c r="H60" s="23">
        <f t="shared" si="6"/>
        <v>13</v>
      </c>
      <c r="I60" s="23">
        <f t="shared" si="6"/>
        <v>15</v>
      </c>
      <c r="J60" s="23">
        <f t="shared" si="6"/>
        <v>0</v>
      </c>
    </row>
    <row r="61" spans="1:10" s="25" customFormat="1" x14ac:dyDescent="0.25">
      <c r="A61" s="22">
        <v>0.9</v>
      </c>
      <c r="B61" s="23">
        <f t="shared" ref="B61:J61" si="7">COUNTIF(B2:B51,0.9)</f>
        <v>4</v>
      </c>
      <c r="C61" s="23">
        <f t="shared" si="7"/>
        <v>0</v>
      </c>
      <c r="D61" s="23">
        <f t="shared" si="7"/>
        <v>0</v>
      </c>
      <c r="E61" s="23">
        <f t="shared" si="7"/>
        <v>0</v>
      </c>
      <c r="F61" s="23">
        <f t="shared" si="7"/>
        <v>0</v>
      </c>
      <c r="G61" s="23">
        <f t="shared" si="7"/>
        <v>6</v>
      </c>
      <c r="H61" s="23">
        <f t="shared" si="7"/>
        <v>2</v>
      </c>
      <c r="I61" s="23">
        <f t="shared" si="7"/>
        <v>0</v>
      </c>
      <c r="J61" s="23">
        <f t="shared" si="7"/>
        <v>0</v>
      </c>
    </row>
    <row r="62" spans="1:10" s="25" customFormat="1" x14ac:dyDescent="0.25">
      <c r="A62" s="28"/>
      <c r="B62" s="89">
        <f>SUM(B55:B61)</f>
        <v>50</v>
      </c>
      <c r="C62" s="89">
        <f t="shared" ref="C62:J62" si="8">SUM(C55:C61)</f>
        <v>50</v>
      </c>
      <c r="D62" s="89">
        <f t="shared" si="8"/>
        <v>50</v>
      </c>
      <c r="E62" s="89">
        <f t="shared" si="8"/>
        <v>50</v>
      </c>
      <c r="F62" s="89">
        <f t="shared" si="8"/>
        <v>44</v>
      </c>
      <c r="G62" s="89">
        <f t="shared" si="8"/>
        <v>50</v>
      </c>
      <c r="H62" s="89">
        <f t="shared" si="8"/>
        <v>50</v>
      </c>
      <c r="I62" s="89">
        <f t="shared" si="8"/>
        <v>50</v>
      </c>
      <c r="J62" s="89">
        <f t="shared" si="8"/>
        <v>50</v>
      </c>
    </row>
    <row r="64" spans="1:10" s="25" customFormat="1" x14ac:dyDescent="0.25">
      <c r="A64" s="29" t="s">
        <v>53</v>
      </c>
      <c r="B64" s="26">
        <f>SUM(B59:B61)</f>
        <v>28</v>
      </c>
      <c r="C64" s="24">
        <f t="shared" ref="C64:J64" si="9">SUM(C59:C61)</f>
        <v>4</v>
      </c>
      <c r="D64" s="24">
        <f t="shared" si="9"/>
        <v>10</v>
      </c>
      <c r="E64" s="26">
        <f t="shared" si="9"/>
        <v>32</v>
      </c>
      <c r="F64" s="24">
        <f t="shared" si="9"/>
        <v>20</v>
      </c>
      <c r="G64" s="26">
        <f t="shared" si="9"/>
        <v>27</v>
      </c>
      <c r="H64" s="26">
        <f t="shared" si="9"/>
        <v>38</v>
      </c>
      <c r="I64" s="26">
        <f t="shared" si="9"/>
        <v>35</v>
      </c>
      <c r="J64" s="24">
        <f t="shared" si="9"/>
        <v>7</v>
      </c>
    </row>
  </sheetData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72"/>
  <sheetViews>
    <sheetView workbookViewId="0">
      <selection activeCell="V16" sqref="V16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35" t="s">
        <v>44</v>
      </c>
      <c r="D2" s="35" t="s">
        <v>45</v>
      </c>
      <c r="E2" s="35" t="s">
        <v>46</v>
      </c>
      <c r="F2" s="57" t="s">
        <v>47</v>
      </c>
      <c r="G2" s="57" t="s">
        <v>50</v>
      </c>
      <c r="H2" s="57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0">
        <v>1.2</v>
      </c>
      <c r="C3" s="40">
        <v>0.3</v>
      </c>
      <c r="D3" s="40">
        <v>0.7</v>
      </c>
      <c r="E3" s="40">
        <v>1</v>
      </c>
      <c r="F3" s="40">
        <v>0.9</v>
      </c>
      <c r="G3" s="40">
        <v>1</v>
      </c>
      <c r="H3" s="41">
        <v>1</v>
      </c>
      <c r="I3" s="42">
        <v>1</v>
      </c>
      <c r="J3" s="43">
        <v>0.8</v>
      </c>
      <c r="L3" s="47"/>
      <c r="M3" s="47"/>
    </row>
    <row r="4" spans="1:13" x14ac:dyDescent="0.25">
      <c r="A4" s="15">
        <v>2</v>
      </c>
      <c r="B4" s="44">
        <v>1</v>
      </c>
      <c r="C4" s="44">
        <v>0.3</v>
      </c>
      <c r="D4" s="44">
        <v>0.7</v>
      </c>
      <c r="E4" s="44">
        <v>1</v>
      </c>
      <c r="F4" s="44">
        <v>1</v>
      </c>
      <c r="G4" s="44">
        <v>1</v>
      </c>
      <c r="H4" s="45">
        <v>1</v>
      </c>
      <c r="I4" s="46">
        <v>1</v>
      </c>
      <c r="J4" s="47">
        <v>0.7</v>
      </c>
    </row>
    <row r="5" spans="1:13" x14ac:dyDescent="0.25">
      <c r="A5" s="15">
        <v>3</v>
      </c>
      <c r="B5" s="44">
        <v>1.1000000000000001</v>
      </c>
      <c r="C5" s="44">
        <v>0.3</v>
      </c>
      <c r="D5" s="44">
        <v>0.7</v>
      </c>
      <c r="E5" s="44">
        <v>0.7</v>
      </c>
      <c r="F5" s="44">
        <v>1</v>
      </c>
      <c r="G5" s="44">
        <v>1</v>
      </c>
      <c r="H5" s="45">
        <v>1.1000000000000001</v>
      </c>
      <c r="I5" s="46">
        <v>1</v>
      </c>
      <c r="J5" s="43">
        <v>0.7</v>
      </c>
    </row>
    <row r="6" spans="1:13" x14ac:dyDescent="0.25">
      <c r="A6" s="15">
        <v>4</v>
      </c>
      <c r="B6" s="44">
        <v>1</v>
      </c>
      <c r="C6" s="44">
        <v>0.3</v>
      </c>
      <c r="D6" s="44">
        <v>0.8</v>
      </c>
      <c r="E6" s="44">
        <v>0.8</v>
      </c>
      <c r="F6" s="44">
        <v>0.7</v>
      </c>
      <c r="G6" s="44">
        <v>0.7</v>
      </c>
      <c r="H6" s="45">
        <v>0.9</v>
      </c>
      <c r="I6" s="46">
        <v>1.1000000000000001</v>
      </c>
      <c r="J6" s="43">
        <v>0.7</v>
      </c>
    </row>
    <row r="7" spans="1:13" x14ac:dyDescent="0.25">
      <c r="A7" s="15">
        <v>5</v>
      </c>
      <c r="B7" s="44">
        <v>1</v>
      </c>
      <c r="C7" s="44">
        <v>0.7</v>
      </c>
      <c r="D7" s="44">
        <v>0.9</v>
      </c>
      <c r="E7" s="44">
        <v>0.8</v>
      </c>
      <c r="F7" s="44">
        <v>1</v>
      </c>
      <c r="G7" s="44">
        <v>0.8</v>
      </c>
      <c r="H7" s="45">
        <v>1</v>
      </c>
      <c r="I7" s="46">
        <v>0.9</v>
      </c>
      <c r="J7" s="43">
        <v>0.7</v>
      </c>
    </row>
    <row r="8" spans="1:13" x14ac:dyDescent="0.25">
      <c r="A8" s="15">
        <v>6</v>
      </c>
      <c r="B8" s="44">
        <v>1.1000000000000001</v>
      </c>
      <c r="C8" s="44">
        <v>0.5</v>
      </c>
      <c r="D8" s="44">
        <v>0.8</v>
      </c>
      <c r="E8" s="44">
        <v>0.8</v>
      </c>
      <c r="F8" s="44">
        <v>1</v>
      </c>
      <c r="G8" s="44">
        <v>1</v>
      </c>
      <c r="H8" s="45">
        <v>1</v>
      </c>
      <c r="I8" s="46">
        <v>0.9</v>
      </c>
      <c r="J8" s="43">
        <v>0.7</v>
      </c>
    </row>
    <row r="9" spans="1:13" x14ac:dyDescent="0.25">
      <c r="A9" s="15">
        <v>7</v>
      </c>
      <c r="B9" s="44">
        <v>1.1000000000000001</v>
      </c>
      <c r="C9" s="44">
        <v>0.3</v>
      </c>
      <c r="D9" s="44">
        <v>0.7</v>
      </c>
      <c r="E9" s="44">
        <v>0.8</v>
      </c>
      <c r="F9" s="44">
        <v>1</v>
      </c>
      <c r="G9" s="44">
        <v>1</v>
      </c>
      <c r="H9" s="45">
        <v>1.1000000000000001</v>
      </c>
      <c r="I9" s="46">
        <v>1</v>
      </c>
      <c r="J9" s="43">
        <v>0.7</v>
      </c>
    </row>
    <row r="10" spans="1:13" x14ac:dyDescent="0.25">
      <c r="A10" s="15">
        <v>8</v>
      </c>
      <c r="B10" s="44">
        <v>1.1000000000000001</v>
      </c>
      <c r="C10" s="44">
        <v>0.7</v>
      </c>
      <c r="D10" s="44">
        <v>0.7</v>
      </c>
      <c r="E10" s="44">
        <v>0.8</v>
      </c>
      <c r="F10" s="44">
        <v>1</v>
      </c>
      <c r="G10" s="44">
        <v>1</v>
      </c>
      <c r="H10" s="45">
        <v>0.8</v>
      </c>
      <c r="I10" s="46">
        <v>1</v>
      </c>
      <c r="J10" s="43">
        <v>0.7</v>
      </c>
    </row>
    <row r="11" spans="1:13" x14ac:dyDescent="0.25">
      <c r="A11" s="15">
        <v>9</v>
      </c>
      <c r="B11" s="44">
        <v>0.7</v>
      </c>
      <c r="C11" s="44">
        <v>0.7</v>
      </c>
      <c r="D11" s="44">
        <v>0.7</v>
      </c>
      <c r="E11" s="44">
        <v>0.8</v>
      </c>
      <c r="F11" s="44">
        <v>1</v>
      </c>
      <c r="G11" s="44">
        <v>1.1000000000000001</v>
      </c>
      <c r="H11" s="45">
        <v>1</v>
      </c>
      <c r="I11" s="46">
        <v>1</v>
      </c>
      <c r="J11" s="43">
        <v>0.8</v>
      </c>
    </row>
    <row r="12" spans="1:13" ht="15.75" thickBot="1" x14ac:dyDescent="0.3">
      <c r="A12" s="17">
        <v>10</v>
      </c>
      <c r="B12" s="48">
        <v>0.5</v>
      </c>
      <c r="C12" s="48">
        <v>0.7</v>
      </c>
      <c r="D12" s="48">
        <v>0.7</v>
      </c>
      <c r="E12" s="48">
        <v>0.8</v>
      </c>
      <c r="F12" s="48">
        <v>1</v>
      </c>
      <c r="G12" s="48">
        <v>1.1000000000000001</v>
      </c>
      <c r="H12" s="49">
        <v>1</v>
      </c>
      <c r="I12" s="50">
        <v>1</v>
      </c>
      <c r="J12" s="43">
        <v>0.8</v>
      </c>
    </row>
    <row r="13" spans="1:13" x14ac:dyDescent="0.25">
      <c r="A13" s="12">
        <v>11</v>
      </c>
      <c r="B13" s="40">
        <v>0.7</v>
      </c>
      <c r="C13" s="40">
        <v>0.7</v>
      </c>
      <c r="D13" s="40">
        <v>0.7</v>
      </c>
      <c r="E13" s="40">
        <v>0.8</v>
      </c>
      <c r="F13" s="40">
        <v>0.7</v>
      </c>
      <c r="G13" s="40">
        <v>1.1000000000000001</v>
      </c>
      <c r="H13" s="40">
        <v>1</v>
      </c>
      <c r="I13" s="42">
        <v>1.1000000000000001</v>
      </c>
      <c r="J13" s="43">
        <v>0.7</v>
      </c>
    </row>
    <row r="14" spans="1:13" x14ac:dyDescent="0.25">
      <c r="A14" s="15">
        <v>12</v>
      </c>
      <c r="B14" s="44">
        <v>0.7</v>
      </c>
      <c r="C14" s="44">
        <v>0.3</v>
      </c>
      <c r="D14" s="44">
        <v>0.5</v>
      </c>
      <c r="E14" s="44">
        <v>0.8</v>
      </c>
      <c r="F14" s="44">
        <v>0.7</v>
      </c>
      <c r="G14" s="44">
        <v>1</v>
      </c>
      <c r="H14" s="44">
        <v>0.8</v>
      </c>
      <c r="I14" s="46">
        <v>1.1000000000000001</v>
      </c>
      <c r="J14" s="43">
        <v>0.8</v>
      </c>
    </row>
    <row r="15" spans="1:13" x14ac:dyDescent="0.25">
      <c r="A15" s="15">
        <v>13</v>
      </c>
      <c r="B15" s="44">
        <v>1</v>
      </c>
      <c r="C15" s="44">
        <v>0.3</v>
      </c>
      <c r="D15" s="44">
        <v>0.7</v>
      </c>
      <c r="E15" s="44">
        <v>0.8</v>
      </c>
      <c r="F15" s="44">
        <v>0.7</v>
      </c>
      <c r="G15" s="44">
        <v>1</v>
      </c>
      <c r="H15" s="44">
        <v>0.9</v>
      </c>
      <c r="I15" s="46">
        <v>1</v>
      </c>
      <c r="J15" s="43">
        <v>0.8</v>
      </c>
    </row>
    <row r="16" spans="1:13" x14ac:dyDescent="0.25">
      <c r="A16" s="15">
        <v>14</v>
      </c>
      <c r="B16" s="44">
        <v>0.8</v>
      </c>
      <c r="C16" s="44">
        <v>0.7</v>
      </c>
      <c r="D16" s="44">
        <v>0.7</v>
      </c>
      <c r="E16" s="44">
        <v>1</v>
      </c>
      <c r="F16" s="44">
        <v>0.7</v>
      </c>
      <c r="G16" s="44">
        <v>1</v>
      </c>
      <c r="H16" s="44">
        <v>0.9</v>
      </c>
      <c r="I16" s="51">
        <v>1.1000000000000001</v>
      </c>
      <c r="J16" s="43">
        <v>0.8</v>
      </c>
    </row>
    <row r="17" spans="1:10" x14ac:dyDescent="0.25">
      <c r="A17" s="15">
        <v>15</v>
      </c>
      <c r="B17" s="44">
        <v>0.9</v>
      </c>
      <c r="C17" s="44">
        <v>0.5</v>
      </c>
      <c r="D17" s="44">
        <v>0.8</v>
      </c>
      <c r="E17" s="44">
        <v>1</v>
      </c>
      <c r="F17" s="44">
        <v>0.8</v>
      </c>
      <c r="G17" s="44">
        <v>1</v>
      </c>
      <c r="H17" s="44">
        <v>0.9</v>
      </c>
      <c r="I17" s="46">
        <v>1.1000000000000001</v>
      </c>
      <c r="J17" s="43">
        <v>0.8</v>
      </c>
    </row>
    <row r="18" spans="1:10" x14ac:dyDescent="0.25">
      <c r="A18" s="15">
        <v>16</v>
      </c>
      <c r="B18" s="44">
        <v>1</v>
      </c>
      <c r="C18" s="44">
        <v>0.5</v>
      </c>
      <c r="D18" s="44">
        <v>0.7</v>
      </c>
      <c r="E18" s="44">
        <v>1</v>
      </c>
      <c r="F18" s="44">
        <v>1.1000000000000001</v>
      </c>
      <c r="G18" s="44">
        <v>1</v>
      </c>
      <c r="H18" s="44">
        <v>0.9</v>
      </c>
      <c r="I18" s="46">
        <v>1.1000000000000001</v>
      </c>
      <c r="J18" s="43">
        <v>0.8</v>
      </c>
    </row>
    <row r="19" spans="1:10" x14ac:dyDescent="0.25">
      <c r="A19" s="15">
        <v>17</v>
      </c>
      <c r="B19" s="44">
        <v>1</v>
      </c>
      <c r="C19" s="44">
        <v>0.5</v>
      </c>
      <c r="D19" s="44">
        <v>0.8</v>
      </c>
      <c r="E19" s="44">
        <v>0.8</v>
      </c>
      <c r="F19" s="44">
        <v>1.1000000000000001</v>
      </c>
      <c r="G19" s="44">
        <v>1</v>
      </c>
      <c r="H19" s="44">
        <v>1</v>
      </c>
      <c r="I19" s="46">
        <v>1.2</v>
      </c>
      <c r="J19" s="43">
        <v>0.8</v>
      </c>
    </row>
    <row r="20" spans="1:10" x14ac:dyDescent="0.25">
      <c r="A20" s="15">
        <v>18</v>
      </c>
      <c r="B20" s="44">
        <v>1</v>
      </c>
      <c r="C20" s="44">
        <v>0.7</v>
      </c>
      <c r="D20" s="44">
        <v>0.5</v>
      </c>
      <c r="E20" s="44">
        <v>0.8</v>
      </c>
      <c r="F20" s="44">
        <v>1</v>
      </c>
      <c r="G20" s="44">
        <v>1.1000000000000001</v>
      </c>
      <c r="H20" s="44">
        <v>1</v>
      </c>
      <c r="I20" s="46">
        <v>0.8</v>
      </c>
      <c r="J20" s="43">
        <v>0.7</v>
      </c>
    </row>
    <row r="21" spans="1:10" x14ac:dyDescent="0.25">
      <c r="A21" s="15">
        <v>19</v>
      </c>
      <c r="B21" s="44">
        <v>1</v>
      </c>
      <c r="C21" s="44">
        <v>0.7</v>
      </c>
      <c r="D21" s="44">
        <v>0.5</v>
      </c>
      <c r="E21" s="44">
        <v>0.8</v>
      </c>
      <c r="F21" s="44">
        <v>1</v>
      </c>
      <c r="G21" s="44">
        <v>1.1000000000000001</v>
      </c>
      <c r="H21" s="44">
        <v>1.1000000000000001</v>
      </c>
      <c r="I21" s="46">
        <v>0.8</v>
      </c>
      <c r="J21" s="43">
        <v>0.7</v>
      </c>
    </row>
    <row r="22" spans="1:10" ht="15.75" thickBot="1" x14ac:dyDescent="0.3">
      <c r="A22" s="17">
        <v>20</v>
      </c>
      <c r="B22" s="48">
        <v>1</v>
      </c>
      <c r="C22" s="48">
        <v>0.7</v>
      </c>
      <c r="D22" s="48">
        <v>0.5</v>
      </c>
      <c r="E22" s="48">
        <v>0.8</v>
      </c>
      <c r="F22" s="48">
        <v>1</v>
      </c>
      <c r="G22" s="48">
        <v>1.1000000000000001</v>
      </c>
      <c r="H22" s="48">
        <v>1.2</v>
      </c>
      <c r="I22" s="50">
        <v>0.8</v>
      </c>
      <c r="J22" s="43">
        <v>0.7</v>
      </c>
    </row>
    <row r="23" spans="1:10" x14ac:dyDescent="0.25">
      <c r="A23" s="12">
        <v>21</v>
      </c>
      <c r="B23" s="40">
        <v>0.7</v>
      </c>
      <c r="C23" s="40">
        <v>0.8</v>
      </c>
      <c r="D23" s="40">
        <v>0.7</v>
      </c>
      <c r="E23" s="40">
        <v>1</v>
      </c>
      <c r="F23" s="40">
        <v>1</v>
      </c>
      <c r="G23" s="40">
        <v>1.1000000000000001</v>
      </c>
      <c r="H23" s="40">
        <v>1.1000000000000001</v>
      </c>
      <c r="I23" s="42">
        <v>1</v>
      </c>
      <c r="J23" s="43">
        <v>0.5</v>
      </c>
    </row>
    <row r="24" spans="1:10" x14ac:dyDescent="0.25">
      <c r="A24" s="15">
        <v>22</v>
      </c>
      <c r="B24" s="44">
        <v>1</v>
      </c>
      <c r="C24" s="44">
        <v>0.8</v>
      </c>
      <c r="D24" s="44">
        <v>0.7</v>
      </c>
      <c r="E24" s="44">
        <v>0.8</v>
      </c>
      <c r="F24" s="44">
        <v>1.3</v>
      </c>
      <c r="G24" s="44">
        <v>1</v>
      </c>
      <c r="H24" s="44">
        <v>1.3</v>
      </c>
      <c r="I24" s="46">
        <v>1</v>
      </c>
      <c r="J24" s="43">
        <v>0.7</v>
      </c>
    </row>
    <row r="25" spans="1:10" x14ac:dyDescent="0.25">
      <c r="A25" s="15">
        <v>23</v>
      </c>
      <c r="B25" s="44">
        <v>1</v>
      </c>
      <c r="C25" s="44">
        <v>0.3</v>
      </c>
      <c r="D25" s="44">
        <v>0.7</v>
      </c>
      <c r="E25" s="44">
        <v>0.8</v>
      </c>
      <c r="F25" s="44">
        <v>1.2</v>
      </c>
      <c r="G25" s="44">
        <v>1</v>
      </c>
      <c r="H25" s="44">
        <v>1.3</v>
      </c>
      <c r="I25" s="46">
        <v>1</v>
      </c>
      <c r="J25" s="43">
        <v>0.7</v>
      </c>
    </row>
    <row r="26" spans="1:10" x14ac:dyDescent="0.25">
      <c r="A26" s="15">
        <v>24</v>
      </c>
      <c r="B26" s="44">
        <v>1.1000000000000001</v>
      </c>
      <c r="C26" s="44">
        <v>0.3</v>
      </c>
      <c r="D26" s="44">
        <v>0.5</v>
      </c>
      <c r="E26" s="44">
        <v>1.1000000000000001</v>
      </c>
      <c r="F26" s="44">
        <v>1.1000000000000001</v>
      </c>
      <c r="G26" s="44">
        <v>1.3</v>
      </c>
      <c r="H26" s="44">
        <v>1</v>
      </c>
      <c r="I26" s="46">
        <v>1.1000000000000001</v>
      </c>
      <c r="J26" s="43">
        <v>0.7</v>
      </c>
    </row>
    <row r="27" spans="1:10" x14ac:dyDescent="0.25">
      <c r="A27" s="15">
        <v>25</v>
      </c>
      <c r="B27" s="44">
        <v>1.1000000000000001</v>
      </c>
      <c r="C27" s="44">
        <v>0.3</v>
      </c>
      <c r="D27" s="44">
        <v>0.5</v>
      </c>
      <c r="E27" s="44">
        <v>1</v>
      </c>
      <c r="F27" s="44">
        <v>1</v>
      </c>
      <c r="G27" s="44">
        <v>1.3</v>
      </c>
      <c r="H27" s="44">
        <v>1.1000000000000001</v>
      </c>
      <c r="I27" s="46">
        <v>1.1000000000000001</v>
      </c>
      <c r="J27" s="43">
        <v>1</v>
      </c>
    </row>
    <row r="28" spans="1:10" x14ac:dyDescent="0.25">
      <c r="A28" s="15">
        <v>26</v>
      </c>
      <c r="B28" s="44">
        <v>1</v>
      </c>
      <c r="C28" s="44">
        <v>0.5</v>
      </c>
      <c r="D28" s="44">
        <v>0.5</v>
      </c>
      <c r="E28" s="44">
        <v>1</v>
      </c>
      <c r="F28" s="44">
        <v>1</v>
      </c>
      <c r="G28" s="44">
        <v>1.3</v>
      </c>
      <c r="H28" s="44">
        <v>1.2</v>
      </c>
      <c r="I28" s="46">
        <v>1.1000000000000001</v>
      </c>
      <c r="J28" s="43">
        <v>1</v>
      </c>
    </row>
    <row r="29" spans="1:10" x14ac:dyDescent="0.25">
      <c r="A29" s="15">
        <v>27</v>
      </c>
      <c r="B29" s="44">
        <v>1</v>
      </c>
      <c r="C29" s="44">
        <v>0.7</v>
      </c>
      <c r="D29" s="44">
        <v>0.5</v>
      </c>
      <c r="E29" s="44">
        <v>1</v>
      </c>
      <c r="F29" s="44">
        <v>1</v>
      </c>
      <c r="G29" s="44">
        <v>1.3</v>
      </c>
      <c r="H29" s="44">
        <v>1.3</v>
      </c>
      <c r="I29" s="46">
        <v>1.1000000000000001</v>
      </c>
      <c r="J29" s="43">
        <v>1</v>
      </c>
    </row>
    <row r="30" spans="1:10" x14ac:dyDescent="0.25">
      <c r="A30" s="15">
        <v>28</v>
      </c>
      <c r="B30" s="44">
        <v>0.8</v>
      </c>
      <c r="C30" s="44">
        <v>0.5</v>
      </c>
      <c r="D30" s="44">
        <v>0.5</v>
      </c>
      <c r="E30" s="44">
        <v>1</v>
      </c>
      <c r="F30" s="44">
        <v>1.1000000000000001</v>
      </c>
      <c r="G30" s="44">
        <v>1.3</v>
      </c>
      <c r="H30" s="44">
        <v>1</v>
      </c>
      <c r="I30" s="46">
        <v>1.2</v>
      </c>
      <c r="J30" s="43">
        <v>1</v>
      </c>
    </row>
    <row r="31" spans="1:10" x14ac:dyDescent="0.25">
      <c r="A31" s="15">
        <v>29</v>
      </c>
      <c r="B31" s="44">
        <v>0.8</v>
      </c>
      <c r="C31" s="44">
        <v>0.5</v>
      </c>
      <c r="D31" s="44">
        <v>0.5</v>
      </c>
      <c r="E31" s="44">
        <v>0.8</v>
      </c>
      <c r="F31" s="44">
        <v>1.1000000000000001</v>
      </c>
      <c r="G31" s="44">
        <v>1</v>
      </c>
      <c r="H31" s="44">
        <v>1</v>
      </c>
      <c r="I31" s="46">
        <v>1.2</v>
      </c>
      <c r="J31" s="43">
        <v>0.7</v>
      </c>
    </row>
    <row r="32" spans="1:10" ht="15.75" thickBot="1" x14ac:dyDescent="0.3">
      <c r="A32" s="17">
        <v>30</v>
      </c>
      <c r="B32" s="48">
        <v>1</v>
      </c>
      <c r="C32" s="48">
        <v>0.5</v>
      </c>
      <c r="D32" s="48">
        <v>0.5</v>
      </c>
      <c r="E32" s="48">
        <v>0.8</v>
      </c>
      <c r="F32" s="48">
        <v>1.1000000000000001</v>
      </c>
      <c r="G32" s="48">
        <v>1</v>
      </c>
      <c r="H32" s="48">
        <v>1.3</v>
      </c>
      <c r="I32" s="50">
        <v>1</v>
      </c>
      <c r="J32" s="43">
        <v>0.7</v>
      </c>
    </row>
    <row r="33" spans="1:10" x14ac:dyDescent="0.25">
      <c r="A33" s="12">
        <v>31</v>
      </c>
      <c r="B33" s="40">
        <v>0.8</v>
      </c>
      <c r="C33" s="40">
        <v>0.7</v>
      </c>
      <c r="D33" s="40">
        <v>0.5</v>
      </c>
      <c r="E33" s="40">
        <v>0.8</v>
      </c>
      <c r="F33" s="40">
        <v>1.1000000000000001</v>
      </c>
      <c r="G33" s="40">
        <v>1</v>
      </c>
      <c r="H33" s="40">
        <v>1.1000000000000001</v>
      </c>
      <c r="I33" s="42">
        <v>1</v>
      </c>
      <c r="J33" s="43">
        <v>0.7</v>
      </c>
    </row>
    <row r="34" spans="1:10" x14ac:dyDescent="0.25">
      <c r="A34" s="15">
        <v>32</v>
      </c>
      <c r="B34" s="44">
        <v>1</v>
      </c>
      <c r="C34" s="44">
        <v>0.8</v>
      </c>
      <c r="D34" s="44">
        <v>0.7</v>
      </c>
      <c r="E34" s="44">
        <v>0.8</v>
      </c>
      <c r="F34" s="44">
        <v>1.1000000000000001</v>
      </c>
      <c r="G34" s="44">
        <v>1.1000000000000001</v>
      </c>
      <c r="H34" s="44">
        <v>0.8</v>
      </c>
      <c r="I34" s="46">
        <v>0.8</v>
      </c>
      <c r="J34" s="43">
        <v>0.7</v>
      </c>
    </row>
    <row r="35" spans="1:10" x14ac:dyDescent="0.25">
      <c r="A35" s="15">
        <v>33</v>
      </c>
      <c r="B35" s="44">
        <v>0.7</v>
      </c>
      <c r="C35" s="44">
        <v>0.8</v>
      </c>
      <c r="D35" s="44">
        <v>0.7</v>
      </c>
      <c r="E35" s="44">
        <v>0.8</v>
      </c>
      <c r="F35" s="44">
        <v>1</v>
      </c>
      <c r="G35" s="44">
        <v>1</v>
      </c>
      <c r="H35" s="44">
        <v>1.1000000000000001</v>
      </c>
      <c r="I35" s="46">
        <v>0.8</v>
      </c>
      <c r="J35" s="43">
        <v>0.7</v>
      </c>
    </row>
    <row r="36" spans="1:10" x14ac:dyDescent="0.25">
      <c r="A36" s="15">
        <v>34</v>
      </c>
      <c r="B36" s="44">
        <v>0.7</v>
      </c>
      <c r="C36" s="44">
        <v>0.7</v>
      </c>
      <c r="D36" s="44">
        <v>0.5</v>
      </c>
      <c r="E36" s="44">
        <v>0.7</v>
      </c>
      <c r="F36" s="44">
        <v>1</v>
      </c>
      <c r="G36" s="44">
        <v>1</v>
      </c>
      <c r="H36" s="44">
        <v>1.1000000000000001</v>
      </c>
      <c r="I36" s="46">
        <v>0.8</v>
      </c>
      <c r="J36" s="43">
        <v>0.7</v>
      </c>
    </row>
    <row r="37" spans="1:10" x14ac:dyDescent="0.25">
      <c r="A37" s="15">
        <v>35</v>
      </c>
      <c r="B37" s="44">
        <v>0.7</v>
      </c>
      <c r="C37" s="44">
        <v>0.5</v>
      </c>
      <c r="D37" s="44">
        <v>0.5</v>
      </c>
      <c r="E37" s="44">
        <v>0.7</v>
      </c>
      <c r="F37" s="44">
        <v>1</v>
      </c>
      <c r="G37" s="44">
        <v>1.1000000000000001</v>
      </c>
      <c r="H37" s="44">
        <v>1.1000000000000001</v>
      </c>
      <c r="I37" s="46">
        <v>1</v>
      </c>
      <c r="J37" s="43">
        <v>0.7</v>
      </c>
    </row>
    <row r="38" spans="1:10" x14ac:dyDescent="0.25">
      <c r="A38" s="15">
        <v>36</v>
      </c>
      <c r="B38" s="44">
        <v>0.7</v>
      </c>
      <c r="C38" s="44">
        <v>0.7</v>
      </c>
      <c r="D38" s="44">
        <v>0.5</v>
      </c>
      <c r="E38" s="44">
        <v>0.7</v>
      </c>
      <c r="F38" s="44">
        <v>1</v>
      </c>
      <c r="G38" s="44">
        <v>1.1000000000000001</v>
      </c>
      <c r="H38" s="44">
        <v>1</v>
      </c>
      <c r="I38" s="46">
        <v>1</v>
      </c>
      <c r="J38" s="43">
        <v>0.7</v>
      </c>
    </row>
    <row r="39" spans="1:10" x14ac:dyDescent="0.25">
      <c r="A39" s="15">
        <v>37</v>
      </c>
      <c r="B39" s="44">
        <v>0.9</v>
      </c>
      <c r="C39" s="44">
        <v>0.7</v>
      </c>
      <c r="D39" s="44">
        <v>0.5</v>
      </c>
      <c r="E39" s="44">
        <v>0.8</v>
      </c>
      <c r="F39" s="44">
        <v>1</v>
      </c>
      <c r="G39" s="44">
        <v>1</v>
      </c>
      <c r="H39" s="44">
        <v>1</v>
      </c>
      <c r="I39" s="46">
        <v>1</v>
      </c>
      <c r="J39" s="43">
        <v>1</v>
      </c>
    </row>
    <row r="40" spans="1:10" x14ac:dyDescent="0.25">
      <c r="A40" s="15">
        <v>38</v>
      </c>
      <c r="B40" s="44">
        <v>0.8</v>
      </c>
      <c r="C40" s="44">
        <v>0.5</v>
      </c>
      <c r="D40" s="44">
        <v>0.5</v>
      </c>
      <c r="E40" s="44">
        <v>0.8</v>
      </c>
      <c r="F40" s="44">
        <v>0.7</v>
      </c>
      <c r="G40" s="44">
        <v>1</v>
      </c>
      <c r="H40" s="44">
        <v>1</v>
      </c>
      <c r="I40" s="46">
        <v>1</v>
      </c>
      <c r="J40" s="43">
        <v>1</v>
      </c>
    </row>
    <row r="41" spans="1:10" x14ac:dyDescent="0.25">
      <c r="A41" s="15">
        <v>39</v>
      </c>
      <c r="B41" s="44">
        <v>1</v>
      </c>
      <c r="C41" s="44">
        <v>0.5</v>
      </c>
      <c r="D41" s="44">
        <v>0.7</v>
      </c>
      <c r="E41" s="44">
        <v>0.8</v>
      </c>
      <c r="F41" s="44">
        <v>1</v>
      </c>
      <c r="G41" s="44">
        <v>0.7</v>
      </c>
      <c r="H41" s="44">
        <v>0.9</v>
      </c>
      <c r="I41" s="46">
        <v>1</v>
      </c>
      <c r="J41" s="43">
        <v>1</v>
      </c>
    </row>
    <row r="42" spans="1:10" ht="15.75" thickBot="1" x14ac:dyDescent="0.3">
      <c r="A42" s="17">
        <v>40</v>
      </c>
      <c r="B42" s="48">
        <v>1</v>
      </c>
      <c r="C42" s="48">
        <v>0.5</v>
      </c>
      <c r="D42" s="48">
        <v>0.7</v>
      </c>
      <c r="E42" s="48">
        <v>0.8</v>
      </c>
      <c r="F42" s="48">
        <v>1</v>
      </c>
      <c r="G42" s="48">
        <v>1.1000000000000001</v>
      </c>
      <c r="H42" s="48">
        <v>0.8</v>
      </c>
      <c r="I42" s="50">
        <v>1</v>
      </c>
      <c r="J42" s="43">
        <v>1</v>
      </c>
    </row>
    <row r="43" spans="1:10" x14ac:dyDescent="0.25">
      <c r="A43" s="12">
        <v>41</v>
      </c>
      <c r="B43" s="40">
        <v>1</v>
      </c>
      <c r="C43" s="40">
        <v>0.3</v>
      </c>
      <c r="D43" s="40">
        <v>0.8</v>
      </c>
      <c r="E43" s="40">
        <v>1</v>
      </c>
      <c r="F43" s="40">
        <v>0.8</v>
      </c>
      <c r="G43" s="40">
        <v>1</v>
      </c>
      <c r="H43" s="40">
        <v>1</v>
      </c>
      <c r="I43" s="42">
        <v>1</v>
      </c>
      <c r="J43" s="43">
        <v>1</v>
      </c>
    </row>
    <row r="44" spans="1:10" x14ac:dyDescent="0.25">
      <c r="A44" s="15">
        <v>42</v>
      </c>
      <c r="B44" s="44">
        <v>0.7</v>
      </c>
      <c r="C44" s="44">
        <v>0.5</v>
      </c>
      <c r="D44" s="44">
        <v>1</v>
      </c>
      <c r="E44" s="44">
        <v>1</v>
      </c>
      <c r="F44" s="44">
        <v>1.1000000000000001</v>
      </c>
      <c r="G44" s="44">
        <v>1.1000000000000001</v>
      </c>
      <c r="H44" s="44">
        <v>1</v>
      </c>
      <c r="I44" s="46">
        <v>1</v>
      </c>
      <c r="J44" s="43">
        <v>1</v>
      </c>
    </row>
    <row r="45" spans="1:10" x14ac:dyDescent="0.25">
      <c r="A45" s="15">
        <v>43</v>
      </c>
      <c r="B45" s="44">
        <v>0.7</v>
      </c>
      <c r="C45" s="44">
        <v>0.3</v>
      </c>
      <c r="D45" s="44">
        <v>0.7</v>
      </c>
      <c r="E45" s="44">
        <v>1</v>
      </c>
      <c r="F45" s="44">
        <v>1.1000000000000001</v>
      </c>
      <c r="G45" s="44">
        <v>1.1000000000000001</v>
      </c>
      <c r="H45" s="44">
        <v>1</v>
      </c>
      <c r="I45" s="46">
        <v>1</v>
      </c>
      <c r="J45" s="43">
        <v>0.7</v>
      </c>
    </row>
    <row r="46" spans="1:10" x14ac:dyDescent="0.25">
      <c r="A46" s="15">
        <v>44</v>
      </c>
      <c r="B46" s="44">
        <v>0.7</v>
      </c>
      <c r="C46" s="44">
        <v>0.7</v>
      </c>
      <c r="D46" s="44">
        <v>0.7</v>
      </c>
      <c r="E46" s="44">
        <v>0.8</v>
      </c>
      <c r="F46" s="44">
        <v>1</v>
      </c>
      <c r="G46" s="44">
        <v>1.1000000000000001</v>
      </c>
      <c r="H46" s="44">
        <v>1.1000000000000001</v>
      </c>
      <c r="I46" s="46">
        <v>1</v>
      </c>
      <c r="J46" s="43">
        <v>0.7</v>
      </c>
    </row>
    <row r="47" spans="1:10" x14ac:dyDescent="0.25">
      <c r="A47" s="15">
        <v>45</v>
      </c>
      <c r="B47" s="44">
        <v>0.7</v>
      </c>
      <c r="C47" s="44">
        <v>0.8</v>
      </c>
      <c r="D47" s="44">
        <v>0.7</v>
      </c>
      <c r="E47" s="44">
        <v>0.8</v>
      </c>
      <c r="F47" s="44">
        <v>1</v>
      </c>
      <c r="G47" s="44">
        <v>1</v>
      </c>
      <c r="H47" s="44">
        <v>1</v>
      </c>
      <c r="I47" s="46">
        <v>1</v>
      </c>
      <c r="J47" s="43">
        <v>0.7</v>
      </c>
    </row>
    <row r="48" spans="1:10" x14ac:dyDescent="0.25">
      <c r="A48" s="15">
        <v>46</v>
      </c>
      <c r="B48" s="44">
        <v>0.9</v>
      </c>
      <c r="C48" s="44">
        <v>0.3</v>
      </c>
      <c r="D48" s="44">
        <v>1</v>
      </c>
      <c r="E48" s="44">
        <v>0.8</v>
      </c>
      <c r="F48" s="44">
        <v>1</v>
      </c>
      <c r="G48" s="44">
        <v>1.2</v>
      </c>
      <c r="H48" s="44">
        <v>1.1000000000000001</v>
      </c>
      <c r="I48" s="46">
        <v>1.1000000000000001</v>
      </c>
      <c r="J48" s="43">
        <v>0.7</v>
      </c>
    </row>
    <row r="49" spans="1:10" x14ac:dyDescent="0.25">
      <c r="A49" s="15">
        <v>47</v>
      </c>
      <c r="B49" s="44">
        <v>1</v>
      </c>
      <c r="C49" s="44">
        <v>0.7</v>
      </c>
      <c r="D49" s="44">
        <v>0.5</v>
      </c>
      <c r="E49" s="44">
        <v>0.8</v>
      </c>
      <c r="F49" s="44">
        <v>1.3</v>
      </c>
      <c r="G49" s="44">
        <v>1.2</v>
      </c>
      <c r="H49" s="44">
        <v>1</v>
      </c>
      <c r="I49" s="46">
        <v>1.1000000000000001</v>
      </c>
      <c r="J49" s="43">
        <v>0.8</v>
      </c>
    </row>
    <row r="50" spans="1:10" x14ac:dyDescent="0.25">
      <c r="A50" s="15">
        <v>48</v>
      </c>
      <c r="B50" s="44">
        <v>1</v>
      </c>
      <c r="C50" s="44">
        <v>0.5</v>
      </c>
      <c r="D50" s="44">
        <v>0.5</v>
      </c>
      <c r="E50" s="44">
        <v>0.8</v>
      </c>
      <c r="F50" s="44">
        <v>1.2</v>
      </c>
      <c r="G50" s="44">
        <v>0.7</v>
      </c>
      <c r="H50" s="44">
        <v>1</v>
      </c>
      <c r="I50" s="46">
        <v>1.1000000000000001</v>
      </c>
      <c r="J50" s="43">
        <v>1</v>
      </c>
    </row>
    <row r="51" spans="1:10" x14ac:dyDescent="0.25">
      <c r="A51" s="15">
        <v>49</v>
      </c>
      <c r="B51" s="44">
        <v>0.8</v>
      </c>
      <c r="C51" s="44">
        <v>0.5</v>
      </c>
      <c r="D51" s="44">
        <v>0.5</v>
      </c>
      <c r="E51" s="44">
        <v>1</v>
      </c>
      <c r="F51" s="44">
        <v>1</v>
      </c>
      <c r="G51" s="44">
        <v>1</v>
      </c>
      <c r="H51" s="44">
        <v>1.1000000000000001</v>
      </c>
      <c r="I51" s="46">
        <v>1.2</v>
      </c>
      <c r="J51" s="43">
        <v>0.7</v>
      </c>
    </row>
    <row r="52" spans="1:10" ht="15.75" thickBot="1" x14ac:dyDescent="0.3">
      <c r="A52" s="17">
        <v>50</v>
      </c>
      <c r="B52" s="48">
        <v>1</v>
      </c>
      <c r="C52" s="48">
        <v>0.3</v>
      </c>
      <c r="D52" s="48">
        <v>0.5</v>
      </c>
      <c r="E52" s="48">
        <v>1</v>
      </c>
      <c r="F52" s="48">
        <v>1</v>
      </c>
      <c r="G52" s="48">
        <v>1</v>
      </c>
      <c r="H52" s="48">
        <v>1.1000000000000001</v>
      </c>
      <c r="I52" s="50">
        <v>1.1000000000000001</v>
      </c>
      <c r="J52" s="43">
        <v>0.7</v>
      </c>
    </row>
    <row r="53" spans="1:10" x14ac:dyDescent="0.25">
      <c r="A53" s="5"/>
    </row>
    <row r="54" spans="1:10" x14ac:dyDescent="0.25">
      <c r="A54" s="22" t="s">
        <v>52</v>
      </c>
      <c r="B54" s="23">
        <f t="shared" ref="B54:J54" si="0">AVERAGE(B3:B52)</f>
        <v>0.90400000000000025</v>
      </c>
      <c r="C54" s="23">
        <f t="shared" si="0"/>
        <v>0.53800000000000003</v>
      </c>
      <c r="D54" s="23">
        <f t="shared" si="0"/>
        <v>0.6419999999999999</v>
      </c>
      <c r="E54" s="23">
        <f t="shared" si="0"/>
        <v>0.85799999999999965</v>
      </c>
      <c r="F54" s="23">
        <f t="shared" si="0"/>
        <v>0.99400000000000022</v>
      </c>
      <c r="G54" s="23">
        <f t="shared" si="0"/>
        <v>1.0440000000000005</v>
      </c>
      <c r="H54" s="23">
        <f t="shared" si="0"/>
        <v>1.0300000000000002</v>
      </c>
      <c r="I54" s="23">
        <f t="shared" si="0"/>
        <v>1.016</v>
      </c>
      <c r="J54" s="23">
        <f t="shared" si="0"/>
        <v>0.78200000000000014</v>
      </c>
    </row>
    <row r="55" spans="1:10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0" s="27" customFormat="1" x14ac:dyDescent="0.25">
      <c r="A56" s="22">
        <v>0</v>
      </c>
      <c r="B56" s="23">
        <f t="shared" ref="B56:J56" si="1">COUNTIF(B3:B52,0)</f>
        <v>0</v>
      </c>
      <c r="C56" s="23">
        <f t="shared" si="1"/>
        <v>0</v>
      </c>
      <c r="D56" s="23">
        <f t="shared" si="1"/>
        <v>0</v>
      </c>
      <c r="E56" s="23">
        <f t="shared" si="1"/>
        <v>0</v>
      </c>
      <c r="F56" s="23">
        <f t="shared" si="1"/>
        <v>0</v>
      </c>
      <c r="G56" s="23">
        <f t="shared" si="1"/>
        <v>0</v>
      </c>
      <c r="H56" s="23">
        <f t="shared" si="1"/>
        <v>0</v>
      </c>
      <c r="I56" s="23">
        <f t="shared" si="1"/>
        <v>0</v>
      </c>
      <c r="J56" s="23">
        <f t="shared" si="1"/>
        <v>0</v>
      </c>
    </row>
    <row r="57" spans="1:10" s="27" customFormat="1" x14ac:dyDescent="0.25">
      <c r="A57" s="22">
        <v>0.1</v>
      </c>
      <c r="B57" s="23">
        <f t="shared" ref="B57:J57" si="2">COUNTIF(B3:B52,0.1)</f>
        <v>0</v>
      </c>
      <c r="C57" s="23">
        <f t="shared" si="2"/>
        <v>0</v>
      </c>
      <c r="D57" s="23">
        <f t="shared" si="2"/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0" s="27" customFormat="1" x14ac:dyDescent="0.25">
      <c r="A58" s="22">
        <v>0.2</v>
      </c>
      <c r="B58" s="23">
        <f t="shared" ref="B58:J58" si="3">COUNTIF(B3:B52,0.2)</f>
        <v>0</v>
      </c>
      <c r="C58" s="23">
        <f t="shared" si="3"/>
        <v>0</v>
      </c>
      <c r="D58" s="23">
        <f t="shared" si="3"/>
        <v>0</v>
      </c>
      <c r="E58" s="23">
        <f t="shared" si="3"/>
        <v>0</v>
      </c>
      <c r="F58" s="23">
        <f t="shared" si="3"/>
        <v>0</v>
      </c>
      <c r="G58" s="23">
        <f t="shared" si="3"/>
        <v>0</v>
      </c>
      <c r="H58" s="23">
        <f t="shared" si="3"/>
        <v>0</v>
      </c>
      <c r="I58" s="23">
        <f t="shared" si="3"/>
        <v>0</v>
      </c>
      <c r="J58" s="23">
        <f t="shared" si="3"/>
        <v>0</v>
      </c>
    </row>
    <row r="59" spans="1:10" s="27" customFormat="1" x14ac:dyDescent="0.25">
      <c r="A59" s="22">
        <v>0.3</v>
      </c>
      <c r="B59" s="23">
        <f t="shared" ref="B59:J59" si="4">COUNTIF(B3:B52,0.3)</f>
        <v>0</v>
      </c>
      <c r="C59" s="23">
        <f t="shared" si="4"/>
        <v>14</v>
      </c>
      <c r="D59" s="23">
        <f t="shared" si="4"/>
        <v>0</v>
      </c>
      <c r="E59" s="23">
        <f t="shared" si="4"/>
        <v>0</v>
      </c>
      <c r="F59" s="23">
        <f t="shared" si="4"/>
        <v>0</v>
      </c>
      <c r="G59" s="23">
        <f t="shared" si="4"/>
        <v>0</v>
      </c>
      <c r="H59" s="23">
        <f t="shared" si="4"/>
        <v>0</v>
      </c>
      <c r="I59" s="23">
        <f t="shared" si="4"/>
        <v>0</v>
      </c>
      <c r="J59" s="23">
        <f t="shared" si="4"/>
        <v>0</v>
      </c>
    </row>
    <row r="60" spans="1:10" s="27" customFormat="1" x14ac:dyDescent="0.25">
      <c r="A60" s="22">
        <v>0.4</v>
      </c>
      <c r="B60" s="23">
        <f>COUNTIF(B3:B52,0.4)</f>
        <v>0</v>
      </c>
      <c r="C60" s="23">
        <f t="shared" ref="C60:J60" si="5">COUNTIF(C3:C52,0.4)</f>
        <v>0</v>
      </c>
      <c r="D60" s="23">
        <f t="shared" si="5"/>
        <v>0</v>
      </c>
      <c r="E60" s="23">
        <f t="shared" si="5"/>
        <v>0</v>
      </c>
      <c r="F60" s="23">
        <f t="shared" si="5"/>
        <v>0</v>
      </c>
      <c r="G60" s="23">
        <f t="shared" si="5"/>
        <v>0</v>
      </c>
      <c r="H60" s="23">
        <f t="shared" si="5"/>
        <v>0</v>
      </c>
      <c r="I60" s="23">
        <f t="shared" si="5"/>
        <v>0</v>
      </c>
      <c r="J60" s="23">
        <f t="shared" si="5"/>
        <v>0</v>
      </c>
    </row>
    <row r="61" spans="1:10" s="25" customFormat="1" x14ac:dyDescent="0.25">
      <c r="A61" s="28">
        <v>0.5</v>
      </c>
      <c r="B61" s="25">
        <f>COUNTIF(B3:B52,0.5)</f>
        <v>1</v>
      </c>
      <c r="C61" s="25">
        <f t="shared" ref="C61:J61" si="6">COUNTIF(C3:C52,0.5)</f>
        <v>15</v>
      </c>
      <c r="D61" s="25">
        <f t="shared" si="6"/>
        <v>21</v>
      </c>
      <c r="E61" s="25">
        <f t="shared" si="6"/>
        <v>0</v>
      </c>
      <c r="F61" s="25">
        <f t="shared" si="6"/>
        <v>0</v>
      </c>
      <c r="G61" s="25">
        <f t="shared" si="6"/>
        <v>0</v>
      </c>
      <c r="H61" s="25">
        <f t="shared" si="6"/>
        <v>0</v>
      </c>
      <c r="I61" s="25">
        <f t="shared" si="6"/>
        <v>0</v>
      </c>
      <c r="J61" s="25">
        <f t="shared" si="6"/>
        <v>1</v>
      </c>
    </row>
    <row r="62" spans="1:10" s="25" customFormat="1" x14ac:dyDescent="0.25">
      <c r="A62" s="28">
        <v>0.6</v>
      </c>
      <c r="B62" s="23">
        <f>COUNTIF(B3:B52,0.6)</f>
        <v>0</v>
      </c>
      <c r="C62" s="23">
        <f t="shared" ref="C62:J62" si="7">COUNTIF(C3:C52,0.6)</f>
        <v>0</v>
      </c>
      <c r="D62" s="23">
        <f t="shared" si="7"/>
        <v>0</v>
      </c>
      <c r="E62" s="23">
        <f t="shared" si="7"/>
        <v>0</v>
      </c>
      <c r="F62" s="23">
        <f t="shared" si="7"/>
        <v>0</v>
      </c>
      <c r="G62" s="23">
        <f t="shared" si="7"/>
        <v>0</v>
      </c>
      <c r="H62" s="23">
        <f t="shared" si="7"/>
        <v>0</v>
      </c>
      <c r="I62" s="23">
        <f t="shared" si="7"/>
        <v>0</v>
      </c>
      <c r="J62" s="23">
        <f t="shared" si="7"/>
        <v>0</v>
      </c>
    </row>
    <row r="63" spans="1:10" s="25" customFormat="1" x14ac:dyDescent="0.25">
      <c r="A63" s="28">
        <v>0.7</v>
      </c>
      <c r="B63" s="25">
        <f>COUNTIF(B3:B52,0.7)</f>
        <v>12</v>
      </c>
      <c r="C63" s="25">
        <f t="shared" ref="C63:J63" si="8">COUNTIF(C3:C52,0.7)</f>
        <v>16</v>
      </c>
      <c r="D63" s="25">
        <f t="shared" si="8"/>
        <v>21</v>
      </c>
      <c r="E63" s="25">
        <f t="shared" si="8"/>
        <v>4</v>
      </c>
      <c r="F63" s="25">
        <f t="shared" si="8"/>
        <v>6</v>
      </c>
      <c r="G63" s="25">
        <f t="shared" si="8"/>
        <v>3</v>
      </c>
      <c r="H63" s="25">
        <f t="shared" si="8"/>
        <v>0</v>
      </c>
      <c r="I63" s="25">
        <f t="shared" si="8"/>
        <v>0</v>
      </c>
      <c r="J63" s="25">
        <f t="shared" si="8"/>
        <v>28</v>
      </c>
    </row>
    <row r="64" spans="1:10" s="25" customFormat="1" x14ac:dyDescent="0.25">
      <c r="A64" s="28">
        <v>0.8</v>
      </c>
      <c r="B64" s="25">
        <f>COUNTIF(B3:B52,0.8)</f>
        <v>6</v>
      </c>
      <c r="C64" s="25">
        <f t="shared" ref="C64:J64" si="9">COUNTIF(C3:C52,0.8)</f>
        <v>5</v>
      </c>
      <c r="D64" s="25">
        <f t="shared" si="9"/>
        <v>5</v>
      </c>
      <c r="E64" s="25">
        <f t="shared" si="9"/>
        <v>30</v>
      </c>
      <c r="F64" s="25">
        <f t="shared" si="9"/>
        <v>2</v>
      </c>
      <c r="G64" s="25">
        <f t="shared" si="9"/>
        <v>1</v>
      </c>
      <c r="H64" s="25">
        <f t="shared" si="9"/>
        <v>4</v>
      </c>
      <c r="I64" s="25">
        <f t="shared" si="9"/>
        <v>6</v>
      </c>
      <c r="J64" s="25">
        <f t="shared" si="9"/>
        <v>10</v>
      </c>
    </row>
    <row r="65" spans="1:11" s="25" customFormat="1" x14ac:dyDescent="0.25">
      <c r="A65" s="28">
        <v>0.9</v>
      </c>
      <c r="B65" s="25">
        <f t="shared" ref="B65:J65" si="10">COUNTIF(B3:B52,0.9)</f>
        <v>3</v>
      </c>
      <c r="C65" s="25">
        <f t="shared" si="10"/>
        <v>0</v>
      </c>
      <c r="D65" s="25">
        <f t="shared" si="10"/>
        <v>1</v>
      </c>
      <c r="E65" s="25">
        <f t="shared" si="10"/>
        <v>0</v>
      </c>
      <c r="F65" s="25">
        <f t="shared" si="10"/>
        <v>1</v>
      </c>
      <c r="G65" s="25">
        <f t="shared" si="10"/>
        <v>0</v>
      </c>
      <c r="H65" s="25">
        <f t="shared" si="10"/>
        <v>6</v>
      </c>
      <c r="I65" s="25">
        <f t="shared" si="10"/>
        <v>2</v>
      </c>
      <c r="J65" s="25">
        <f t="shared" si="10"/>
        <v>0</v>
      </c>
    </row>
    <row r="66" spans="1:11" x14ac:dyDescent="0.25">
      <c r="A66" s="52">
        <v>1</v>
      </c>
      <c r="B66" s="25">
        <f>COUNTIF(B3:B52,1)</f>
        <v>21</v>
      </c>
      <c r="C66" s="25">
        <f t="shared" ref="C66:J66" si="11">COUNTIF(C3:C52,1)</f>
        <v>0</v>
      </c>
      <c r="D66" s="25">
        <f t="shared" si="11"/>
        <v>2</v>
      </c>
      <c r="E66" s="25">
        <f t="shared" si="11"/>
        <v>15</v>
      </c>
      <c r="F66" s="25">
        <f t="shared" si="11"/>
        <v>27</v>
      </c>
      <c r="G66" s="25">
        <f t="shared" si="11"/>
        <v>25</v>
      </c>
      <c r="H66" s="25">
        <f t="shared" si="11"/>
        <v>21</v>
      </c>
      <c r="I66" s="25">
        <f t="shared" si="11"/>
        <v>24</v>
      </c>
      <c r="J66" s="25">
        <f t="shared" si="11"/>
        <v>11</v>
      </c>
    </row>
    <row r="67" spans="1:11" x14ac:dyDescent="0.25">
      <c r="A67" s="52">
        <v>1.1000000000000001</v>
      </c>
      <c r="B67" s="25">
        <f>COUNTIF(B3:B52,1.1)</f>
        <v>6</v>
      </c>
      <c r="C67" s="25">
        <f t="shared" ref="C67:J67" si="12">COUNTIF(C3:C52,1.1)</f>
        <v>0</v>
      </c>
      <c r="D67" s="25">
        <f t="shared" si="12"/>
        <v>0</v>
      </c>
      <c r="E67" s="25">
        <f t="shared" si="12"/>
        <v>1</v>
      </c>
      <c r="F67" s="25">
        <f t="shared" si="12"/>
        <v>10</v>
      </c>
      <c r="G67" s="25">
        <f t="shared" si="12"/>
        <v>14</v>
      </c>
      <c r="H67" s="25">
        <f t="shared" si="12"/>
        <v>13</v>
      </c>
      <c r="I67" s="25">
        <f t="shared" si="12"/>
        <v>14</v>
      </c>
      <c r="J67" s="25">
        <f t="shared" si="12"/>
        <v>0</v>
      </c>
    </row>
    <row r="68" spans="1:11" x14ac:dyDescent="0.25">
      <c r="A68" s="52">
        <v>1.2</v>
      </c>
      <c r="B68" s="25">
        <f>COUNTIF(B3:B52,1.2)</f>
        <v>1</v>
      </c>
      <c r="C68" s="25">
        <f t="shared" ref="C68:J68" si="13">COUNTIF(C3:C52,1.2)</f>
        <v>0</v>
      </c>
      <c r="D68" s="25">
        <f t="shared" si="13"/>
        <v>0</v>
      </c>
      <c r="E68" s="25">
        <f t="shared" si="13"/>
        <v>0</v>
      </c>
      <c r="F68" s="25">
        <f t="shared" si="13"/>
        <v>2</v>
      </c>
      <c r="G68" s="25">
        <f t="shared" si="13"/>
        <v>2</v>
      </c>
      <c r="H68" s="25">
        <f t="shared" si="13"/>
        <v>2</v>
      </c>
      <c r="I68" s="25">
        <f t="shared" si="13"/>
        <v>4</v>
      </c>
      <c r="J68" s="25">
        <f t="shared" si="13"/>
        <v>0</v>
      </c>
    </row>
    <row r="69" spans="1:11" x14ac:dyDescent="0.25">
      <c r="A69" s="52">
        <v>1.3</v>
      </c>
      <c r="B69" s="25">
        <f>COUNTIF(B3:B52,1.3)</f>
        <v>0</v>
      </c>
      <c r="C69" s="25">
        <f t="shared" ref="C69:J69" si="14">COUNTIF(C3:C52,1.3)</f>
        <v>0</v>
      </c>
      <c r="D69" s="25">
        <f t="shared" si="14"/>
        <v>0</v>
      </c>
      <c r="E69" s="25">
        <f t="shared" si="14"/>
        <v>0</v>
      </c>
      <c r="F69" s="25">
        <f t="shared" si="14"/>
        <v>2</v>
      </c>
      <c r="G69" s="25">
        <f t="shared" si="14"/>
        <v>5</v>
      </c>
      <c r="H69" s="25">
        <f t="shared" si="14"/>
        <v>4</v>
      </c>
      <c r="I69" s="25">
        <f t="shared" si="14"/>
        <v>0</v>
      </c>
      <c r="J69" s="25">
        <f t="shared" si="14"/>
        <v>0</v>
      </c>
    </row>
    <row r="70" spans="1:11" x14ac:dyDescent="0.25">
      <c r="A70" s="52"/>
    </row>
    <row r="71" spans="1:11" s="25" customFormat="1" x14ac:dyDescent="0.25">
      <c r="A71" s="29" t="s">
        <v>53</v>
      </c>
      <c r="B71" s="26">
        <f>SUM(B61:B65)</f>
        <v>22</v>
      </c>
      <c r="C71" s="26">
        <f t="shared" ref="C71:J71" si="15">SUM(C61:C65)</f>
        <v>36</v>
      </c>
      <c r="D71" s="26">
        <f>SUM(D61:D65)</f>
        <v>48</v>
      </c>
      <c r="E71" s="26">
        <f t="shared" si="15"/>
        <v>34</v>
      </c>
      <c r="F71" s="24">
        <f>SUM(F61:F65)</f>
        <v>9</v>
      </c>
      <c r="G71" s="24">
        <f t="shared" si="15"/>
        <v>4</v>
      </c>
      <c r="H71" s="24">
        <f t="shared" si="15"/>
        <v>10</v>
      </c>
      <c r="I71" s="24">
        <f t="shared" si="15"/>
        <v>8</v>
      </c>
      <c r="J71" s="26">
        <f t="shared" si="15"/>
        <v>39</v>
      </c>
      <c r="K71" s="25" t="s">
        <v>55</v>
      </c>
    </row>
    <row r="72" spans="1:11" x14ac:dyDescent="0.25">
      <c r="A72" t="s">
        <v>54</v>
      </c>
      <c r="B72" s="53">
        <f>SUM(B66:B69)</f>
        <v>28</v>
      </c>
      <c r="C72">
        <f t="shared" ref="C72:J72" si="16">SUM(C66:C69)</f>
        <v>0</v>
      </c>
      <c r="D72">
        <f t="shared" si="16"/>
        <v>2</v>
      </c>
      <c r="E72">
        <f t="shared" si="16"/>
        <v>16</v>
      </c>
      <c r="F72" s="53">
        <f t="shared" si="16"/>
        <v>41</v>
      </c>
      <c r="G72" s="53">
        <f t="shared" si="16"/>
        <v>46</v>
      </c>
      <c r="H72" s="53">
        <f t="shared" si="16"/>
        <v>40</v>
      </c>
      <c r="I72" s="53">
        <f>SUM(I66:I69)</f>
        <v>42</v>
      </c>
      <c r="J72">
        <f t="shared" si="16"/>
        <v>11</v>
      </c>
      <c r="K72" s="53" t="s">
        <v>56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72"/>
  <sheetViews>
    <sheetView workbookViewId="0">
      <selection activeCell="Q14" sqref="Q14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35" t="s">
        <v>44</v>
      </c>
      <c r="D2" s="35" t="s">
        <v>45</v>
      </c>
      <c r="E2" s="35" t="s">
        <v>46</v>
      </c>
      <c r="F2" s="57" t="s">
        <v>47</v>
      </c>
      <c r="G2" s="57" t="s">
        <v>50</v>
      </c>
      <c r="H2" s="57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0">
        <v>1.4</v>
      </c>
      <c r="C3" s="40">
        <v>0.7</v>
      </c>
      <c r="D3" s="40">
        <v>0.9</v>
      </c>
      <c r="E3" s="40">
        <v>1</v>
      </c>
      <c r="F3" s="40">
        <v>1</v>
      </c>
      <c r="G3" s="40">
        <v>1</v>
      </c>
      <c r="H3" s="41">
        <v>1.2</v>
      </c>
      <c r="I3" s="42">
        <v>1.3</v>
      </c>
      <c r="J3" s="43">
        <v>1</v>
      </c>
      <c r="L3" s="47">
        <f>MIN(B3:J52)</f>
        <v>0.3</v>
      </c>
      <c r="M3" s="47">
        <f>MAX(B3:J52)</f>
        <v>1.4</v>
      </c>
    </row>
    <row r="4" spans="1:13" x14ac:dyDescent="0.25">
      <c r="A4" s="15">
        <v>2</v>
      </c>
      <c r="B4" s="44">
        <v>1</v>
      </c>
      <c r="C4" s="44">
        <v>0.7</v>
      </c>
      <c r="D4" s="44">
        <v>0.7</v>
      </c>
      <c r="E4" s="44">
        <v>1</v>
      </c>
      <c r="F4" s="44">
        <v>1</v>
      </c>
      <c r="G4" s="44">
        <v>1</v>
      </c>
      <c r="H4" s="45">
        <v>1</v>
      </c>
      <c r="I4" s="46">
        <v>1.1000000000000001</v>
      </c>
      <c r="J4" s="47">
        <v>1</v>
      </c>
    </row>
    <row r="5" spans="1:13" x14ac:dyDescent="0.25">
      <c r="A5" s="15">
        <v>3</v>
      </c>
      <c r="B5" s="44">
        <v>1.1000000000000001</v>
      </c>
      <c r="C5" s="44">
        <v>1</v>
      </c>
      <c r="D5" s="44">
        <v>0.5</v>
      </c>
      <c r="E5" s="44">
        <v>0.7</v>
      </c>
      <c r="F5" s="44">
        <v>1</v>
      </c>
      <c r="G5" s="44">
        <v>1.2</v>
      </c>
      <c r="H5" s="45">
        <v>1</v>
      </c>
      <c r="I5" s="46">
        <v>1.1000000000000001</v>
      </c>
      <c r="J5" s="43">
        <v>1</v>
      </c>
    </row>
    <row r="6" spans="1:13" x14ac:dyDescent="0.25">
      <c r="A6" s="15">
        <v>4</v>
      </c>
      <c r="B6" s="44">
        <v>1</v>
      </c>
      <c r="C6" s="44">
        <v>0.9</v>
      </c>
      <c r="D6" s="44">
        <v>0.9</v>
      </c>
      <c r="E6" s="44">
        <v>0.9</v>
      </c>
      <c r="F6" s="44">
        <v>1</v>
      </c>
      <c r="G6" s="44">
        <v>1.2</v>
      </c>
      <c r="H6" s="45">
        <v>1</v>
      </c>
      <c r="I6" s="46">
        <v>1.1000000000000001</v>
      </c>
      <c r="J6" s="43">
        <v>1.1000000000000001</v>
      </c>
    </row>
    <row r="7" spans="1:13" x14ac:dyDescent="0.25">
      <c r="A7" s="15">
        <v>5</v>
      </c>
      <c r="B7" s="44">
        <v>1.1000000000000001</v>
      </c>
      <c r="C7" s="44">
        <v>1.2</v>
      </c>
      <c r="D7" s="44">
        <v>0.5</v>
      </c>
      <c r="E7" s="44">
        <v>0.9</v>
      </c>
      <c r="F7" s="44">
        <v>1</v>
      </c>
      <c r="G7" s="44">
        <v>1</v>
      </c>
      <c r="H7" s="45">
        <v>1</v>
      </c>
      <c r="I7" s="46">
        <v>1.3</v>
      </c>
      <c r="J7" s="43">
        <v>1</v>
      </c>
    </row>
    <row r="8" spans="1:13" x14ac:dyDescent="0.25">
      <c r="A8" s="15">
        <v>6</v>
      </c>
      <c r="B8" s="44">
        <v>1</v>
      </c>
      <c r="C8" s="44">
        <v>1</v>
      </c>
      <c r="D8" s="44">
        <v>0.9</v>
      </c>
      <c r="E8" s="44">
        <v>0.9</v>
      </c>
      <c r="F8" s="44">
        <v>1</v>
      </c>
      <c r="G8" s="44">
        <v>1</v>
      </c>
      <c r="H8" s="45">
        <v>1.2</v>
      </c>
      <c r="I8" s="46">
        <v>1.2</v>
      </c>
      <c r="J8" s="43">
        <v>1.1000000000000001</v>
      </c>
    </row>
    <row r="9" spans="1:13" x14ac:dyDescent="0.25">
      <c r="A9" s="15">
        <v>7</v>
      </c>
      <c r="B9" s="44">
        <v>1.1000000000000001</v>
      </c>
      <c r="C9" s="44">
        <v>1.3</v>
      </c>
      <c r="D9" s="44">
        <v>0.9</v>
      </c>
      <c r="E9" s="44">
        <v>0.9</v>
      </c>
      <c r="F9" s="44">
        <v>1</v>
      </c>
      <c r="G9" s="44">
        <v>1</v>
      </c>
      <c r="H9" s="45">
        <v>1</v>
      </c>
      <c r="I9" s="46">
        <v>1</v>
      </c>
      <c r="J9" s="43">
        <v>1</v>
      </c>
    </row>
    <row r="10" spans="1:13" x14ac:dyDescent="0.25">
      <c r="A10" s="15">
        <v>8</v>
      </c>
      <c r="B10" s="44">
        <v>1</v>
      </c>
      <c r="C10" s="44">
        <v>0.7</v>
      </c>
      <c r="D10" s="44">
        <v>0.7</v>
      </c>
      <c r="E10" s="44">
        <v>0.7</v>
      </c>
      <c r="F10" s="44">
        <v>1</v>
      </c>
      <c r="G10" s="44">
        <v>1.3</v>
      </c>
      <c r="H10" s="45">
        <v>1.1000000000000001</v>
      </c>
      <c r="I10" s="46">
        <v>1</v>
      </c>
      <c r="J10" s="43">
        <v>1</v>
      </c>
    </row>
    <row r="11" spans="1:13" x14ac:dyDescent="0.25">
      <c r="A11" s="15">
        <v>9</v>
      </c>
      <c r="B11" s="44">
        <v>0.7</v>
      </c>
      <c r="C11" s="44">
        <v>1</v>
      </c>
      <c r="D11" s="44">
        <v>1</v>
      </c>
      <c r="E11" s="44">
        <v>1</v>
      </c>
      <c r="F11" s="44">
        <v>1.3</v>
      </c>
      <c r="G11" s="44">
        <v>1.1000000000000001</v>
      </c>
      <c r="H11" s="45">
        <v>1.1000000000000001</v>
      </c>
      <c r="I11" s="46">
        <v>1</v>
      </c>
      <c r="J11" s="43">
        <v>1</v>
      </c>
    </row>
    <row r="12" spans="1:13" ht="15.75" thickBot="1" x14ac:dyDescent="0.3">
      <c r="A12" s="17">
        <v>10</v>
      </c>
      <c r="B12" s="48">
        <v>1.1000000000000001</v>
      </c>
      <c r="C12" s="48">
        <v>0.5</v>
      </c>
      <c r="D12" s="48">
        <v>1.1000000000000001</v>
      </c>
      <c r="E12" s="48">
        <v>0.7</v>
      </c>
      <c r="F12" s="48">
        <v>1.2</v>
      </c>
      <c r="G12" s="48">
        <v>1</v>
      </c>
      <c r="H12" s="49">
        <v>0.9</v>
      </c>
      <c r="I12" s="50">
        <v>1</v>
      </c>
      <c r="J12" s="43">
        <v>1</v>
      </c>
    </row>
    <row r="13" spans="1:13" x14ac:dyDescent="0.25">
      <c r="A13" s="12">
        <v>11</v>
      </c>
      <c r="B13" s="40">
        <v>1</v>
      </c>
      <c r="C13" s="40">
        <v>1</v>
      </c>
      <c r="D13" s="40">
        <v>0.9</v>
      </c>
      <c r="E13" s="40">
        <v>0.9</v>
      </c>
      <c r="F13" s="40">
        <v>1.3</v>
      </c>
      <c r="G13" s="40">
        <v>1.1000000000000001</v>
      </c>
      <c r="H13" s="40">
        <v>1</v>
      </c>
      <c r="I13" s="42">
        <v>1.1000000000000001</v>
      </c>
      <c r="J13" s="43">
        <v>1</v>
      </c>
    </row>
    <row r="14" spans="1:13" x14ac:dyDescent="0.25">
      <c r="A14" s="15">
        <v>12</v>
      </c>
      <c r="B14" s="44">
        <v>1.1000000000000001</v>
      </c>
      <c r="C14" s="44">
        <v>0.5</v>
      </c>
      <c r="D14" s="44">
        <v>0.9</v>
      </c>
      <c r="E14" s="44">
        <v>1</v>
      </c>
      <c r="F14" s="44">
        <v>1.4</v>
      </c>
      <c r="G14" s="44">
        <v>1</v>
      </c>
      <c r="H14" s="44">
        <v>1</v>
      </c>
      <c r="I14" s="46">
        <v>1.3</v>
      </c>
      <c r="J14" s="43">
        <v>0.7</v>
      </c>
    </row>
    <row r="15" spans="1:13" x14ac:dyDescent="0.25">
      <c r="A15" s="15">
        <v>13</v>
      </c>
      <c r="B15" s="44">
        <v>1.2</v>
      </c>
      <c r="C15" s="44">
        <v>0.9</v>
      </c>
      <c r="D15" s="44">
        <v>0.9</v>
      </c>
      <c r="E15" s="44">
        <v>1</v>
      </c>
      <c r="F15" s="44">
        <v>1</v>
      </c>
      <c r="G15" s="44">
        <v>1.1000000000000001</v>
      </c>
      <c r="H15" s="44">
        <v>1.3</v>
      </c>
      <c r="I15" s="46">
        <v>1.1000000000000001</v>
      </c>
      <c r="J15" s="43">
        <v>0.7</v>
      </c>
    </row>
    <row r="16" spans="1:13" x14ac:dyDescent="0.25">
      <c r="A16" s="15">
        <v>14</v>
      </c>
      <c r="B16" s="44">
        <v>1.1000000000000001</v>
      </c>
      <c r="C16" s="44">
        <v>1</v>
      </c>
      <c r="D16" s="44">
        <v>0.9</v>
      </c>
      <c r="E16" s="44">
        <v>1</v>
      </c>
      <c r="F16" s="44">
        <v>1.1000000000000001</v>
      </c>
      <c r="G16" s="44">
        <v>0.9</v>
      </c>
      <c r="H16" s="44">
        <v>1.2</v>
      </c>
      <c r="I16" s="51">
        <v>1</v>
      </c>
      <c r="J16" s="43">
        <v>1</v>
      </c>
    </row>
    <row r="17" spans="1:10" x14ac:dyDescent="0.25">
      <c r="A17" s="15">
        <v>15</v>
      </c>
      <c r="B17" s="44">
        <v>1.2</v>
      </c>
      <c r="C17" s="44">
        <v>0.9</v>
      </c>
      <c r="D17" s="44">
        <v>0.5</v>
      </c>
      <c r="E17" s="44">
        <v>1</v>
      </c>
      <c r="F17" s="44">
        <v>1</v>
      </c>
      <c r="G17" s="44">
        <v>1.2</v>
      </c>
      <c r="H17" s="44">
        <v>1.1000000000000001</v>
      </c>
      <c r="I17" s="46">
        <v>1.1000000000000001</v>
      </c>
      <c r="J17" s="43">
        <v>0.7</v>
      </c>
    </row>
    <row r="18" spans="1:10" x14ac:dyDescent="0.25">
      <c r="A18" s="15">
        <v>16</v>
      </c>
      <c r="B18" s="44">
        <v>1</v>
      </c>
      <c r="C18" s="44">
        <v>0.7</v>
      </c>
      <c r="D18" s="44">
        <v>1</v>
      </c>
      <c r="E18" s="44">
        <v>1</v>
      </c>
      <c r="F18" s="44">
        <v>1</v>
      </c>
      <c r="G18" s="44">
        <v>0.9</v>
      </c>
      <c r="H18" s="44">
        <v>1</v>
      </c>
      <c r="I18" s="46">
        <v>1</v>
      </c>
      <c r="J18" s="43">
        <v>0.9</v>
      </c>
    </row>
    <row r="19" spans="1:10" x14ac:dyDescent="0.25">
      <c r="A19" s="15">
        <v>17</v>
      </c>
      <c r="B19" s="44">
        <v>1.2</v>
      </c>
      <c r="C19" s="44">
        <v>1</v>
      </c>
      <c r="D19" s="44">
        <v>0.9</v>
      </c>
      <c r="E19" s="44">
        <v>0.9</v>
      </c>
      <c r="F19" s="44">
        <v>1</v>
      </c>
      <c r="G19" s="44">
        <v>0.9</v>
      </c>
      <c r="H19" s="44">
        <v>1.1000000000000001</v>
      </c>
      <c r="I19" s="46">
        <v>1.1000000000000001</v>
      </c>
      <c r="J19" s="43">
        <v>1</v>
      </c>
    </row>
    <row r="20" spans="1:10" x14ac:dyDescent="0.25">
      <c r="A20" s="15">
        <v>18</v>
      </c>
      <c r="B20" s="44">
        <v>1.3</v>
      </c>
      <c r="C20" s="44">
        <v>0.9</v>
      </c>
      <c r="D20" s="44">
        <v>1</v>
      </c>
      <c r="E20" s="44">
        <v>0.9</v>
      </c>
      <c r="F20" s="44">
        <v>1.3</v>
      </c>
      <c r="G20" s="44">
        <v>0.9</v>
      </c>
      <c r="H20" s="44">
        <v>1.1000000000000001</v>
      </c>
      <c r="I20" s="46">
        <v>1.1000000000000001</v>
      </c>
      <c r="J20" s="43">
        <v>1.1000000000000001</v>
      </c>
    </row>
    <row r="21" spans="1:10" x14ac:dyDescent="0.25">
      <c r="A21" s="15">
        <v>19</v>
      </c>
      <c r="B21" s="44">
        <v>1</v>
      </c>
      <c r="C21" s="44">
        <v>0.9</v>
      </c>
      <c r="D21" s="44">
        <v>0.9</v>
      </c>
      <c r="E21" s="44">
        <v>1</v>
      </c>
      <c r="F21" s="44">
        <v>1.1000000000000001</v>
      </c>
      <c r="G21" s="44">
        <v>1</v>
      </c>
      <c r="H21" s="44">
        <v>1</v>
      </c>
      <c r="I21" s="46">
        <v>1.1000000000000001</v>
      </c>
      <c r="J21" s="43">
        <v>1.1000000000000001</v>
      </c>
    </row>
    <row r="22" spans="1:10" ht="15.75" thickBot="1" x14ac:dyDescent="0.3">
      <c r="A22" s="17">
        <v>20</v>
      </c>
      <c r="B22" s="48">
        <v>1</v>
      </c>
      <c r="C22" s="48">
        <v>0.9</v>
      </c>
      <c r="D22" s="48">
        <v>0.7</v>
      </c>
      <c r="E22" s="48">
        <v>0.9</v>
      </c>
      <c r="F22" s="48">
        <v>1</v>
      </c>
      <c r="G22" s="48">
        <v>1.1000000000000001</v>
      </c>
      <c r="H22" s="48">
        <v>1</v>
      </c>
      <c r="I22" s="50">
        <v>1.1000000000000001</v>
      </c>
      <c r="J22" s="43">
        <v>1</v>
      </c>
    </row>
    <row r="23" spans="1:10" x14ac:dyDescent="0.25">
      <c r="A23" s="12">
        <v>21</v>
      </c>
      <c r="B23" s="40">
        <v>1</v>
      </c>
      <c r="C23" s="40">
        <v>0.7</v>
      </c>
      <c r="D23" s="40">
        <v>0.5</v>
      </c>
      <c r="E23" s="40">
        <v>1</v>
      </c>
      <c r="F23" s="40">
        <v>1</v>
      </c>
      <c r="G23" s="40">
        <v>1.2</v>
      </c>
      <c r="H23" s="40">
        <v>1</v>
      </c>
      <c r="I23" s="42">
        <v>1.1000000000000001</v>
      </c>
      <c r="J23" s="43">
        <v>1</v>
      </c>
    </row>
    <row r="24" spans="1:10" x14ac:dyDescent="0.25">
      <c r="A24" s="15">
        <v>22</v>
      </c>
      <c r="B24" s="44">
        <v>1</v>
      </c>
      <c r="C24" s="44">
        <v>0.7</v>
      </c>
      <c r="D24" s="44">
        <v>1</v>
      </c>
      <c r="E24" s="44">
        <v>1</v>
      </c>
      <c r="F24" s="44">
        <v>1</v>
      </c>
      <c r="G24" s="44">
        <v>1.1000000000000001</v>
      </c>
      <c r="H24" s="44">
        <v>1</v>
      </c>
      <c r="I24" s="46">
        <v>1.1000000000000001</v>
      </c>
      <c r="J24" s="43">
        <v>0.9</v>
      </c>
    </row>
    <row r="25" spans="1:10" x14ac:dyDescent="0.25">
      <c r="A25" s="15">
        <v>23</v>
      </c>
      <c r="B25" s="44">
        <v>1</v>
      </c>
      <c r="C25" s="44">
        <v>0.9</v>
      </c>
      <c r="D25" s="44">
        <v>0.9</v>
      </c>
      <c r="E25" s="44">
        <v>1.1000000000000001</v>
      </c>
      <c r="F25" s="44">
        <v>1</v>
      </c>
      <c r="G25" s="44">
        <v>1</v>
      </c>
      <c r="H25" s="44">
        <v>1</v>
      </c>
      <c r="I25" s="46">
        <v>1</v>
      </c>
      <c r="J25" s="43">
        <v>0.9</v>
      </c>
    </row>
    <row r="26" spans="1:10" x14ac:dyDescent="0.25">
      <c r="A26" s="15">
        <v>24</v>
      </c>
      <c r="B26" s="44">
        <v>1</v>
      </c>
      <c r="C26" s="44">
        <v>0.5</v>
      </c>
      <c r="D26" s="44">
        <v>1</v>
      </c>
      <c r="E26" s="44">
        <v>1.1000000000000001</v>
      </c>
      <c r="F26" s="44">
        <v>1</v>
      </c>
      <c r="G26" s="44">
        <v>1</v>
      </c>
      <c r="H26" s="44">
        <v>1</v>
      </c>
      <c r="I26" s="46">
        <v>0.9</v>
      </c>
      <c r="J26" s="43">
        <v>0.7</v>
      </c>
    </row>
    <row r="27" spans="1:10" x14ac:dyDescent="0.25">
      <c r="A27" s="15">
        <v>25</v>
      </c>
      <c r="B27" s="44">
        <v>0.9</v>
      </c>
      <c r="C27" s="44">
        <v>0.5</v>
      </c>
      <c r="D27" s="44">
        <v>0.7</v>
      </c>
      <c r="E27" s="44">
        <v>1.2</v>
      </c>
      <c r="F27" s="44">
        <v>0.9</v>
      </c>
      <c r="G27" s="44">
        <v>0.9</v>
      </c>
      <c r="H27" s="44">
        <v>1</v>
      </c>
      <c r="I27" s="46">
        <v>0.9</v>
      </c>
      <c r="J27" s="43">
        <v>0.7</v>
      </c>
    </row>
    <row r="28" spans="1:10" x14ac:dyDescent="0.25">
      <c r="A28" s="15">
        <v>26</v>
      </c>
      <c r="B28" s="44">
        <v>0.9</v>
      </c>
      <c r="C28" s="44">
        <v>0.5</v>
      </c>
      <c r="D28" s="44">
        <v>0.9</v>
      </c>
      <c r="E28" s="44">
        <v>1</v>
      </c>
      <c r="F28" s="44">
        <v>0.7</v>
      </c>
      <c r="G28" s="44">
        <v>1</v>
      </c>
      <c r="H28" s="44">
        <v>1.1000000000000001</v>
      </c>
      <c r="I28" s="46">
        <v>1.1000000000000001</v>
      </c>
      <c r="J28" s="43">
        <v>1</v>
      </c>
    </row>
    <row r="29" spans="1:10" x14ac:dyDescent="0.25">
      <c r="A29" s="15">
        <v>27</v>
      </c>
      <c r="B29" s="44">
        <v>0.9</v>
      </c>
      <c r="C29" s="44">
        <v>0.5</v>
      </c>
      <c r="D29" s="44">
        <v>0.5</v>
      </c>
      <c r="E29" s="44">
        <v>0.9</v>
      </c>
      <c r="F29" s="44">
        <v>1</v>
      </c>
      <c r="G29" s="44">
        <v>1.2</v>
      </c>
      <c r="H29" s="44">
        <v>1</v>
      </c>
      <c r="I29" s="46">
        <v>1</v>
      </c>
      <c r="J29" s="43">
        <v>1</v>
      </c>
    </row>
    <row r="30" spans="1:10" x14ac:dyDescent="0.25">
      <c r="A30" s="15">
        <v>28</v>
      </c>
      <c r="B30" s="44">
        <v>1</v>
      </c>
      <c r="C30" s="44">
        <v>0.5</v>
      </c>
      <c r="D30" s="44">
        <v>0.5</v>
      </c>
      <c r="E30" s="44">
        <v>1</v>
      </c>
      <c r="F30" s="44">
        <v>1</v>
      </c>
      <c r="G30" s="44">
        <v>1</v>
      </c>
      <c r="H30" s="44">
        <v>1.1000000000000001</v>
      </c>
      <c r="I30" s="46">
        <v>1.1000000000000001</v>
      </c>
      <c r="J30" s="43">
        <v>1.1000000000000001</v>
      </c>
    </row>
    <row r="31" spans="1:10" x14ac:dyDescent="0.25">
      <c r="A31" s="15">
        <v>29</v>
      </c>
      <c r="B31" s="44">
        <v>1</v>
      </c>
      <c r="C31" s="44">
        <v>0.5</v>
      </c>
      <c r="D31" s="44">
        <v>0.5</v>
      </c>
      <c r="E31" s="44">
        <v>0.9</v>
      </c>
      <c r="F31" s="44">
        <v>1.1000000000000001</v>
      </c>
      <c r="G31" s="44">
        <v>1.1000000000000001</v>
      </c>
      <c r="H31" s="44">
        <v>1</v>
      </c>
      <c r="I31" s="46">
        <v>1.1000000000000001</v>
      </c>
      <c r="J31" s="43">
        <v>1.2</v>
      </c>
    </row>
    <row r="32" spans="1:10" ht="15.75" thickBot="1" x14ac:dyDescent="0.3">
      <c r="A32" s="17">
        <v>30</v>
      </c>
      <c r="B32" s="48">
        <v>1.1000000000000001</v>
      </c>
      <c r="C32" s="48">
        <v>0.5</v>
      </c>
      <c r="D32" s="48">
        <v>0.7</v>
      </c>
      <c r="E32" s="48">
        <v>0.7</v>
      </c>
      <c r="F32" s="48">
        <v>1.1000000000000001</v>
      </c>
      <c r="G32" s="48">
        <v>1.1000000000000001</v>
      </c>
      <c r="H32" s="48">
        <v>0.9</v>
      </c>
      <c r="I32" s="50">
        <v>1</v>
      </c>
      <c r="J32" s="43">
        <v>0.7</v>
      </c>
    </row>
    <row r="33" spans="1:10" x14ac:dyDescent="0.25">
      <c r="A33" s="12">
        <v>31</v>
      </c>
      <c r="B33" s="40">
        <v>1</v>
      </c>
      <c r="C33" s="40">
        <v>0.7</v>
      </c>
      <c r="D33" s="40">
        <v>0.7</v>
      </c>
      <c r="E33" s="40">
        <v>1</v>
      </c>
      <c r="F33" s="40">
        <v>1</v>
      </c>
      <c r="G33" s="40">
        <v>1.2</v>
      </c>
      <c r="H33" s="40">
        <v>1</v>
      </c>
      <c r="I33" s="42">
        <v>1.2</v>
      </c>
      <c r="J33" s="43">
        <v>1</v>
      </c>
    </row>
    <row r="34" spans="1:10" x14ac:dyDescent="0.25">
      <c r="A34" s="15">
        <v>32</v>
      </c>
      <c r="B34" s="44">
        <v>1</v>
      </c>
      <c r="C34" s="44">
        <v>1</v>
      </c>
      <c r="D34" s="44">
        <v>0.9</v>
      </c>
      <c r="E34" s="44">
        <v>0.9</v>
      </c>
      <c r="F34" s="44">
        <v>1.2</v>
      </c>
      <c r="G34" s="44">
        <v>1</v>
      </c>
      <c r="H34" s="44">
        <v>1</v>
      </c>
      <c r="I34" s="46">
        <v>1.2</v>
      </c>
      <c r="J34" s="43">
        <v>0.9</v>
      </c>
    </row>
    <row r="35" spans="1:10" x14ac:dyDescent="0.25">
      <c r="A35" s="15">
        <v>33</v>
      </c>
      <c r="B35" s="44">
        <v>1</v>
      </c>
      <c r="C35" s="44">
        <v>1</v>
      </c>
      <c r="D35" s="44">
        <v>0.7</v>
      </c>
      <c r="E35" s="44">
        <v>0.9</v>
      </c>
      <c r="F35" s="44">
        <v>1.2</v>
      </c>
      <c r="G35" s="44">
        <v>1.1000000000000001</v>
      </c>
      <c r="H35" s="44">
        <v>1</v>
      </c>
      <c r="I35" s="46">
        <v>1.1000000000000001</v>
      </c>
      <c r="J35" s="43">
        <v>1</v>
      </c>
    </row>
    <row r="36" spans="1:10" x14ac:dyDescent="0.25">
      <c r="A36" s="15">
        <v>34</v>
      </c>
      <c r="B36" s="44">
        <v>1.1000000000000001</v>
      </c>
      <c r="C36" s="44">
        <v>1</v>
      </c>
      <c r="D36" s="44">
        <v>0.9</v>
      </c>
      <c r="E36" s="44">
        <v>0.7</v>
      </c>
      <c r="F36" s="44">
        <v>1.2</v>
      </c>
      <c r="G36" s="44">
        <v>1.1000000000000001</v>
      </c>
      <c r="H36" s="44">
        <v>1</v>
      </c>
      <c r="I36" s="46">
        <v>1</v>
      </c>
      <c r="J36" s="43">
        <v>0.7</v>
      </c>
    </row>
    <row r="37" spans="1:10" x14ac:dyDescent="0.25">
      <c r="A37" s="15">
        <v>35</v>
      </c>
      <c r="B37" s="44">
        <v>1.1000000000000001</v>
      </c>
      <c r="C37" s="44">
        <v>0.9</v>
      </c>
      <c r="D37" s="44">
        <v>0.7</v>
      </c>
      <c r="E37" s="44">
        <v>1</v>
      </c>
      <c r="F37" s="44">
        <v>1.3</v>
      </c>
      <c r="G37" s="44">
        <v>1.1000000000000001</v>
      </c>
      <c r="H37" s="44">
        <v>1</v>
      </c>
      <c r="I37" s="46">
        <v>1.1000000000000001</v>
      </c>
      <c r="J37" s="43">
        <v>0.7</v>
      </c>
    </row>
    <row r="38" spans="1:10" x14ac:dyDescent="0.25">
      <c r="A38" s="15">
        <v>36</v>
      </c>
      <c r="B38" s="44">
        <v>1</v>
      </c>
      <c r="C38" s="44">
        <v>0.7</v>
      </c>
      <c r="D38" s="44">
        <v>0.7</v>
      </c>
      <c r="E38" s="44">
        <v>0.7</v>
      </c>
      <c r="F38" s="44">
        <v>1.2</v>
      </c>
      <c r="G38" s="44">
        <v>1.1000000000000001</v>
      </c>
      <c r="H38" s="44">
        <v>1</v>
      </c>
      <c r="I38" s="46">
        <v>1.1000000000000001</v>
      </c>
      <c r="J38" s="43">
        <v>0.9</v>
      </c>
    </row>
    <row r="39" spans="1:10" x14ac:dyDescent="0.25">
      <c r="A39" s="15">
        <v>37</v>
      </c>
      <c r="B39" s="44">
        <v>1</v>
      </c>
      <c r="C39" s="44">
        <v>0.5</v>
      </c>
      <c r="D39" s="44">
        <v>0.7</v>
      </c>
      <c r="E39" s="44">
        <v>1</v>
      </c>
      <c r="F39" s="44">
        <v>1.3</v>
      </c>
      <c r="G39" s="44">
        <v>1</v>
      </c>
      <c r="H39" s="44">
        <v>0.9</v>
      </c>
      <c r="I39" s="46">
        <v>1</v>
      </c>
      <c r="J39" s="43">
        <v>0.9</v>
      </c>
    </row>
    <row r="40" spans="1:10" x14ac:dyDescent="0.25">
      <c r="A40" s="15">
        <v>38</v>
      </c>
      <c r="B40" s="44">
        <v>1</v>
      </c>
      <c r="C40" s="44">
        <v>0.5</v>
      </c>
      <c r="D40" s="44">
        <v>0.5</v>
      </c>
      <c r="E40" s="44">
        <v>0.9</v>
      </c>
      <c r="F40" s="44">
        <v>1.2</v>
      </c>
      <c r="G40" s="44">
        <v>1</v>
      </c>
      <c r="H40" s="44">
        <v>0.9</v>
      </c>
      <c r="I40" s="46">
        <v>1.1000000000000001</v>
      </c>
      <c r="J40" s="43">
        <v>0.9</v>
      </c>
    </row>
    <row r="41" spans="1:10" x14ac:dyDescent="0.25">
      <c r="A41" s="15">
        <v>39</v>
      </c>
      <c r="B41" s="44">
        <v>1.1000000000000001</v>
      </c>
      <c r="C41" s="44">
        <v>0.5</v>
      </c>
      <c r="D41" s="44">
        <v>0.5</v>
      </c>
      <c r="E41" s="44">
        <v>1.1000000000000001</v>
      </c>
      <c r="F41" s="44">
        <v>1.1000000000000001</v>
      </c>
      <c r="G41" s="44">
        <v>1</v>
      </c>
      <c r="H41" s="44">
        <v>1</v>
      </c>
      <c r="I41" s="46">
        <v>1</v>
      </c>
      <c r="J41" s="43">
        <v>0.9</v>
      </c>
    </row>
    <row r="42" spans="1:10" ht="15.75" thickBot="1" x14ac:dyDescent="0.3">
      <c r="A42" s="17">
        <v>40</v>
      </c>
      <c r="B42" s="48">
        <v>1.1000000000000001</v>
      </c>
      <c r="C42" s="48">
        <v>0.5</v>
      </c>
      <c r="D42" s="48">
        <v>0.7</v>
      </c>
      <c r="E42" s="48">
        <v>1</v>
      </c>
      <c r="F42" s="48">
        <v>1</v>
      </c>
      <c r="G42" s="48">
        <v>0.9</v>
      </c>
      <c r="H42" s="48">
        <v>1</v>
      </c>
      <c r="I42" s="50">
        <v>0.9</v>
      </c>
      <c r="J42" s="43">
        <v>0.5</v>
      </c>
    </row>
    <row r="43" spans="1:10" x14ac:dyDescent="0.25">
      <c r="A43" s="12">
        <v>41</v>
      </c>
      <c r="B43" s="40">
        <v>1.1000000000000001</v>
      </c>
      <c r="C43" s="40">
        <v>1</v>
      </c>
      <c r="D43" s="40">
        <v>0.5</v>
      </c>
      <c r="E43" s="40">
        <v>0.9</v>
      </c>
      <c r="F43" s="40">
        <v>1.2</v>
      </c>
      <c r="G43" s="40">
        <v>1</v>
      </c>
      <c r="H43" s="40">
        <v>0.7</v>
      </c>
      <c r="I43" s="42">
        <v>1.3</v>
      </c>
      <c r="J43" s="43">
        <v>0.9</v>
      </c>
    </row>
    <row r="44" spans="1:10" x14ac:dyDescent="0.25">
      <c r="A44" s="15">
        <v>42</v>
      </c>
      <c r="B44" s="44">
        <v>1.2</v>
      </c>
      <c r="C44" s="44">
        <v>0.5</v>
      </c>
      <c r="D44" s="44">
        <v>0.9</v>
      </c>
      <c r="E44" s="44">
        <v>0.9</v>
      </c>
      <c r="F44" s="44">
        <v>1</v>
      </c>
      <c r="G44" s="44">
        <v>0.7</v>
      </c>
      <c r="H44" s="44">
        <v>0.7</v>
      </c>
      <c r="I44" s="46">
        <v>1</v>
      </c>
      <c r="J44" s="43">
        <v>1</v>
      </c>
    </row>
    <row r="45" spans="1:10" x14ac:dyDescent="0.25">
      <c r="A45" s="15">
        <v>43</v>
      </c>
      <c r="B45" s="44">
        <v>1</v>
      </c>
      <c r="C45" s="44">
        <v>0.3</v>
      </c>
      <c r="D45" s="44">
        <v>0.3</v>
      </c>
      <c r="E45" s="44">
        <v>0.9</v>
      </c>
      <c r="F45" s="44">
        <v>1</v>
      </c>
      <c r="G45" s="44">
        <v>1</v>
      </c>
      <c r="H45" s="44">
        <v>0.9</v>
      </c>
      <c r="I45" s="46">
        <v>1.1000000000000001</v>
      </c>
      <c r="J45" s="43">
        <v>1</v>
      </c>
    </row>
    <row r="46" spans="1:10" x14ac:dyDescent="0.25">
      <c r="A46" s="15">
        <v>44</v>
      </c>
      <c r="B46" s="44">
        <v>1</v>
      </c>
      <c r="C46" s="44">
        <v>0.5</v>
      </c>
      <c r="D46" s="44">
        <v>0.7</v>
      </c>
      <c r="E46" s="44">
        <v>1.1000000000000001</v>
      </c>
      <c r="F46" s="44">
        <v>1</v>
      </c>
      <c r="G46" s="44">
        <v>1</v>
      </c>
      <c r="H46" s="44">
        <v>1</v>
      </c>
      <c r="I46" s="46">
        <v>1.2</v>
      </c>
      <c r="J46" s="43">
        <v>0.9</v>
      </c>
    </row>
    <row r="47" spans="1:10" x14ac:dyDescent="0.25">
      <c r="A47" s="15">
        <v>45</v>
      </c>
      <c r="B47" s="44">
        <v>1</v>
      </c>
      <c r="C47" s="44">
        <v>0.3</v>
      </c>
      <c r="D47" s="44">
        <v>0.7</v>
      </c>
      <c r="E47" s="44">
        <v>1</v>
      </c>
      <c r="F47" s="44">
        <v>0.9</v>
      </c>
      <c r="G47" s="44">
        <v>1</v>
      </c>
      <c r="H47" s="44">
        <v>1</v>
      </c>
      <c r="I47" s="46">
        <v>1.1000000000000001</v>
      </c>
      <c r="J47" s="43">
        <v>0.9</v>
      </c>
    </row>
    <row r="48" spans="1:10" x14ac:dyDescent="0.25">
      <c r="A48" s="15">
        <v>46</v>
      </c>
      <c r="B48" s="44">
        <v>1.2</v>
      </c>
      <c r="C48" s="44">
        <v>0.7</v>
      </c>
      <c r="D48" s="44">
        <v>0.7</v>
      </c>
      <c r="E48" s="44">
        <v>1</v>
      </c>
      <c r="F48" s="44">
        <v>0.9</v>
      </c>
      <c r="G48" s="44">
        <v>1</v>
      </c>
      <c r="H48" s="44">
        <v>1</v>
      </c>
      <c r="I48" s="46">
        <v>1.2</v>
      </c>
      <c r="J48" s="43">
        <v>1</v>
      </c>
    </row>
    <row r="49" spans="1:10" x14ac:dyDescent="0.25">
      <c r="A49" s="15">
        <v>47</v>
      </c>
      <c r="B49" s="44">
        <v>1.2</v>
      </c>
      <c r="C49" s="44">
        <v>0.7</v>
      </c>
      <c r="D49" s="44">
        <v>0.8</v>
      </c>
      <c r="E49" s="44">
        <v>1</v>
      </c>
      <c r="F49" s="44">
        <v>0.9</v>
      </c>
      <c r="G49" s="44">
        <v>1</v>
      </c>
      <c r="H49" s="44">
        <v>1</v>
      </c>
      <c r="I49" s="46">
        <v>1.2</v>
      </c>
      <c r="J49" s="43">
        <v>1</v>
      </c>
    </row>
    <row r="50" spans="1:10" x14ac:dyDescent="0.25">
      <c r="A50" s="15">
        <v>48</v>
      </c>
      <c r="B50" s="44">
        <v>1</v>
      </c>
      <c r="C50" s="44">
        <v>0.7</v>
      </c>
      <c r="D50" s="44">
        <v>0.7</v>
      </c>
      <c r="E50" s="44">
        <v>0.9</v>
      </c>
      <c r="F50" s="44">
        <v>1.2</v>
      </c>
      <c r="G50" s="44">
        <v>0.9</v>
      </c>
      <c r="H50" s="44">
        <v>1</v>
      </c>
      <c r="I50" s="46">
        <v>1.2</v>
      </c>
      <c r="J50" s="43">
        <v>0.9</v>
      </c>
    </row>
    <row r="51" spans="1:10" x14ac:dyDescent="0.25">
      <c r="A51" s="15">
        <v>49</v>
      </c>
      <c r="B51" s="44">
        <v>1</v>
      </c>
      <c r="C51" s="44">
        <v>0.9</v>
      </c>
      <c r="D51" s="44">
        <v>0.7</v>
      </c>
      <c r="E51" s="44">
        <v>1</v>
      </c>
      <c r="F51" s="44">
        <v>0.7</v>
      </c>
      <c r="G51" s="44">
        <v>1</v>
      </c>
      <c r="H51" s="44">
        <v>1</v>
      </c>
      <c r="I51" s="46">
        <v>1</v>
      </c>
      <c r="J51" s="43">
        <v>1</v>
      </c>
    </row>
    <row r="52" spans="1:10" ht="15.75" thickBot="1" x14ac:dyDescent="0.3">
      <c r="A52" s="17">
        <v>50</v>
      </c>
      <c r="B52" s="48">
        <v>1.1000000000000001</v>
      </c>
      <c r="C52" s="48">
        <v>0.9</v>
      </c>
      <c r="D52" s="48">
        <v>1</v>
      </c>
      <c r="E52" s="48">
        <v>1</v>
      </c>
      <c r="F52" s="48">
        <v>1</v>
      </c>
      <c r="G52" s="48">
        <v>1.3</v>
      </c>
      <c r="H52" s="48">
        <v>1</v>
      </c>
      <c r="I52" s="50">
        <v>0.9</v>
      </c>
      <c r="J52" s="43">
        <v>1</v>
      </c>
    </row>
    <row r="53" spans="1:10" x14ac:dyDescent="0.25">
      <c r="A53" s="5"/>
    </row>
    <row r="54" spans="1:10" x14ac:dyDescent="0.25">
      <c r="A54" s="22" t="s">
        <v>52</v>
      </c>
      <c r="B54" s="23">
        <f t="shared" ref="B54:J54" si="0">AVERAGE(B3:B52)</f>
        <v>1.0520000000000003</v>
      </c>
      <c r="C54" s="23">
        <f t="shared" si="0"/>
        <v>0.746</v>
      </c>
      <c r="D54" s="23">
        <f t="shared" si="0"/>
        <v>0.75800000000000001</v>
      </c>
      <c r="E54" s="23">
        <f t="shared" si="0"/>
        <v>0.94199999999999973</v>
      </c>
      <c r="F54" s="23">
        <f t="shared" si="0"/>
        <v>1.0600000000000003</v>
      </c>
      <c r="G54" s="23">
        <f t="shared" si="0"/>
        <v>1.038</v>
      </c>
      <c r="H54" s="23">
        <f t="shared" si="0"/>
        <v>1.0100000000000002</v>
      </c>
      <c r="I54" s="23">
        <f t="shared" si="0"/>
        <v>1.0860000000000007</v>
      </c>
      <c r="J54" s="23">
        <f t="shared" si="0"/>
        <v>0.93199999999999972</v>
      </c>
    </row>
    <row r="55" spans="1:10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0" s="27" customFormat="1" x14ac:dyDescent="0.25">
      <c r="A56" s="22">
        <v>0.3</v>
      </c>
      <c r="B56" s="23">
        <f t="shared" ref="B56:J56" si="1">COUNTIF(B3:B52,0.3)</f>
        <v>0</v>
      </c>
      <c r="C56" s="23">
        <f t="shared" si="1"/>
        <v>2</v>
      </c>
      <c r="D56" s="23">
        <f t="shared" si="1"/>
        <v>1</v>
      </c>
      <c r="E56" s="23">
        <f t="shared" si="1"/>
        <v>0</v>
      </c>
      <c r="F56" s="23">
        <f t="shared" si="1"/>
        <v>0</v>
      </c>
      <c r="G56" s="23">
        <f t="shared" si="1"/>
        <v>0</v>
      </c>
      <c r="H56" s="23">
        <f t="shared" si="1"/>
        <v>0</v>
      </c>
      <c r="I56" s="23">
        <f t="shared" si="1"/>
        <v>0</v>
      </c>
      <c r="J56" s="23">
        <f t="shared" si="1"/>
        <v>0</v>
      </c>
    </row>
    <row r="57" spans="1:10" s="27" customFormat="1" x14ac:dyDescent="0.25">
      <c r="A57" s="22">
        <v>0.4</v>
      </c>
      <c r="B57" s="23">
        <f t="shared" ref="B57:J57" si="2">COUNTIF(B3:B52,0.4)</f>
        <v>0</v>
      </c>
      <c r="C57" s="23">
        <f t="shared" si="2"/>
        <v>0</v>
      </c>
      <c r="D57" s="23">
        <f t="shared" si="2"/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0" s="25" customFormat="1" x14ac:dyDescent="0.25">
      <c r="A58" s="22">
        <v>0.5</v>
      </c>
      <c r="B58" s="23">
        <f t="shared" ref="B58:J58" si="3">COUNTIF(B3:B52,0.5)</f>
        <v>0</v>
      </c>
      <c r="C58" s="23">
        <f t="shared" si="3"/>
        <v>15</v>
      </c>
      <c r="D58" s="23">
        <f t="shared" si="3"/>
        <v>10</v>
      </c>
      <c r="E58" s="23">
        <f t="shared" si="3"/>
        <v>0</v>
      </c>
      <c r="F58" s="23">
        <f t="shared" si="3"/>
        <v>0</v>
      </c>
      <c r="G58" s="23">
        <f t="shared" si="3"/>
        <v>0</v>
      </c>
      <c r="H58" s="23">
        <f t="shared" si="3"/>
        <v>0</v>
      </c>
      <c r="I58" s="23">
        <f t="shared" si="3"/>
        <v>0</v>
      </c>
      <c r="J58" s="23">
        <f t="shared" si="3"/>
        <v>1</v>
      </c>
    </row>
    <row r="59" spans="1:10" s="25" customFormat="1" x14ac:dyDescent="0.25">
      <c r="A59" s="22">
        <v>0.6</v>
      </c>
      <c r="B59" s="23">
        <f t="shared" ref="B59:J59" si="4">COUNTIF(B3:B52,0.6)</f>
        <v>0</v>
      </c>
      <c r="C59" s="23">
        <f t="shared" si="4"/>
        <v>0</v>
      </c>
      <c r="D59" s="23">
        <f t="shared" si="4"/>
        <v>0</v>
      </c>
      <c r="E59" s="23">
        <f t="shared" si="4"/>
        <v>0</v>
      </c>
      <c r="F59" s="23">
        <f t="shared" si="4"/>
        <v>0</v>
      </c>
      <c r="G59" s="23">
        <f t="shared" si="4"/>
        <v>0</v>
      </c>
      <c r="H59" s="23">
        <f t="shared" si="4"/>
        <v>0</v>
      </c>
      <c r="I59" s="23">
        <f t="shared" si="4"/>
        <v>0</v>
      </c>
      <c r="J59" s="23">
        <f t="shared" si="4"/>
        <v>0</v>
      </c>
    </row>
    <row r="60" spans="1:10" s="25" customFormat="1" x14ac:dyDescent="0.25">
      <c r="A60" s="22">
        <v>0.7</v>
      </c>
      <c r="B60" s="23">
        <f t="shared" ref="B60:J60" si="5">COUNTIF(B3:B52,0.7)</f>
        <v>1</v>
      </c>
      <c r="C60" s="23">
        <f t="shared" si="5"/>
        <v>11</v>
      </c>
      <c r="D60" s="23">
        <f t="shared" si="5"/>
        <v>16</v>
      </c>
      <c r="E60" s="23">
        <f t="shared" si="5"/>
        <v>6</v>
      </c>
      <c r="F60" s="23">
        <f t="shared" si="5"/>
        <v>2</v>
      </c>
      <c r="G60" s="23">
        <f t="shared" si="5"/>
        <v>1</v>
      </c>
      <c r="H60" s="23">
        <f t="shared" si="5"/>
        <v>2</v>
      </c>
      <c r="I60" s="23">
        <f t="shared" si="5"/>
        <v>0</v>
      </c>
      <c r="J60" s="23">
        <f t="shared" si="5"/>
        <v>8</v>
      </c>
    </row>
    <row r="61" spans="1:10" s="25" customFormat="1" x14ac:dyDescent="0.25">
      <c r="A61" s="22">
        <v>0.8</v>
      </c>
      <c r="B61" s="23">
        <f t="shared" ref="B61:J61" si="6">COUNTIF(B3:B52,0.8)</f>
        <v>0</v>
      </c>
      <c r="C61" s="23">
        <f t="shared" si="6"/>
        <v>0</v>
      </c>
      <c r="D61" s="23">
        <f t="shared" si="6"/>
        <v>1</v>
      </c>
      <c r="E61" s="23">
        <f t="shared" si="6"/>
        <v>0</v>
      </c>
      <c r="F61" s="23">
        <f t="shared" si="6"/>
        <v>0</v>
      </c>
      <c r="G61" s="23">
        <f t="shared" si="6"/>
        <v>0</v>
      </c>
      <c r="H61" s="23">
        <f t="shared" si="6"/>
        <v>0</v>
      </c>
      <c r="I61" s="23">
        <f t="shared" si="6"/>
        <v>0</v>
      </c>
      <c r="J61" s="23">
        <f t="shared" si="6"/>
        <v>0</v>
      </c>
    </row>
    <row r="62" spans="1:10" s="25" customFormat="1" x14ac:dyDescent="0.25">
      <c r="A62" s="22">
        <v>0.9</v>
      </c>
      <c r="B62" s="23">
        <f t="shared" ref="B62:J62" si="7">COUNTIF(B3:B52,0.9)</f>
        <v>3</v>
      </c>
      <c r="C62" s="23">
        <f t="shared" si="7"/>
        <v>10</v>
      </c>
      <c r="D62" s="23">
        <f t="shared" si="7"/>
        <v>15</v>
      </c>
      <c r="E62" s="23">
        <f t="shared" si="7"/>
        <v>17</v>
      </c>
      <c r="F62" s="23">
        <f t="shared" si="7"/>
        <v>4</v>
      </c>
      <c r="G62" s="23">
        <f t="shared" si="7"/>
        <v>7</v>
      </c>
      <c r="H62" s="23">
        <f t="shared" si="7"/>
        <v>5</v>
      </c>
      <c r="I62" s="23">
        <f t="shared" si="7"/>
        <v>4</v>
      </c>
      <c r="J62" s="23">
        <f t="shared" si="7"/>
        <v>12</v>
      </c>
    </row>
    <row r="63" spans="1:10" x14ac:dyDescent="0.25">
      <c r="A63" s="88">
        <v>1</v>
      </c>
      <c r="B63" s="61">
        <f t="shared" ref="B63:J63" si="8">COUNTIF(B3:B52,1)</f>
        <v>25</v>
      </c>
      <c r="C63" s="23">
        <f t="shared" si="8"/>
        <v>10</v>
      </c>
      <c r="D63" s="23">
        <f t="shared" si="8"/>
        <v>6</v>
      </c>
      <c r="E63" s="61">
        <f t="shared" si="8"/>
        <v>22</v>
      </c>
      <c r="F63" s="61">
        <f t="shared" si="8"/>
        <v>25</v>
      </c>
      <c r="G63" s="61">
        <f t="shared" si="8"/>
        <v>23</v>
      </c>
      <c r="H63" s="61">
        <f t="shared" si="8"/>
        <v>32</v>
      </c>
      <c r="I63" s="23">
        <f t="shared" si="8"/>
        <v>14</v>
      </c>
      <c r="J63" s="23">
        <f t="shared" si="8"/>
        <v>23</v>
      </c>
    </row>
    <row r="64" spans="1:10" x14ac:dyDescent="0.25">
      <c r="A64" s="88">
        <v>1.1000000000000001</v>
      </c>
      <c r="B64" s="23">
        <f t="shared" ref="B64:J64" si="9">COUNTIF(B3:B52,1.1)</f>
        <v>13</v>
      </c>
      <c r="C64" s="23">
        <f t="shared" si="9"/>
        <v>0</v>
      </c>
      <c r="D64" s="23">
        <f t="shared" si="9"/>
        <v>1</v>
      </c>
      <c r="E64" s="61">
        <f t="shared" si="9"/>
        <v>4</v>
      </c>
      <c r="F64" s="23">
        <f t="shared" si="9"/>
        <v>5</v>
      </c>
      <c r="G64" s="61">
        <f t="shared" si="9"/>
        <v>11</v>
      </c>
      <c r="H64" s="23">
        <f t="shared" si="9"/>
        <v>7</v>
      </c>
      <c r="I64" s="61">
        <f t="shared" si="9"/>
        <v>21</v>
      </c>
      <c r="J64" s="23">
        <f t="shared" si="9"/>
        <v>5</v>
      </c>
    </row>
    <row r="65" spans="1:11" x14ac:dyDescent="0.25">
      <c r="A65" s="88">
        <v>1.2</v>
      </c>
      <c r="B65" s="23">
        <f t="shared" ref="B65:J65" si="10">COUNTIF(B3:B52,1.2)</f>
        <v>6</v>
      </c>
      <c r="C65" s="23">
        <f t="shared" si="10"/>
        <v>1</v>
      </c>
      <c r="D65" s="23">
        <f t="shared" si="10"/>
        <v>0</v>
      </c>
      <c r="E65" s="61">
        <f t="shared" si="10"/>
        <v>1</v>
      </c>
      <c r="F65" s="23">
        <f t="shared" si="10"/>
        <v>8</v>
      </c>
      <c r="G65" s="23">
        <f t="shared" si="10"/>
        <v>6</v>
      </c>
      <c r="H65" s="23">
        <f t="shared" si="10"/>
        <v>3</v>
      </c>
      <c r="I65" s="61">
        <f t="shared" si="10"/>
        <v>7</v>
      </c>
      <c r="J65" s="23">
        <f t="shared" si="10"/>
        <v>1</v>
      </c>
    </row>
    <row r="66" spans="1:11" x14ac:dyDescent="0.25">
      <c r="A66" s="88">
        <v>1.3</v>
      </c>
      <c r="B66" s="23">
        <f t="shared" ref="B66:J66" si="11">COUNTIF(B3:B52,1.3)</f>
        <v>1</v>
      </c>
      <c r="C66" s="23">
        <f t="shared" si="11"/>
        <v>1</v>
      </c>
      <c r="D66" s="23">
        <f t="shared" si="11"/>
        <v>0</v>
      </c>
      <c r="E66" s="23">
        <f t="shared" si="11"/>
        <v>0</v>
      </c>
      <c r="F66" s="23">
        <f t="shared" si="11"/>
        <v>5</v>
      </c>
      <c r="G66" s="23">
        <f t="shared" si="11"/>
        <v>2</v>
      </c>
      <c r="H66" s="23">
        <f t="shared" si="11"/>
        <v>1</v>
      </c>
      <c r="I66" s="23">
        <f t="shared" si="11"/>
        <v>4</v>
      </c>
      <c r="J66" s="23">
        <f t="shared" si="11"/>
        <v>0</v>
      </c>
    </row>
    <row r="67" spans="1:11" x14ac:dyDescent="0.25">
      <c r="A67" s="88">
        <v>1.4</v>
      </c>
      <c r="B67" s="23">
        <f t="shared" ref="B67:J67" si="12">COUNTIF(B3:B52,1.4)</f>
        <v>1</v>
      </c>
      <c r="C67" s="23">
        <f t="shared" si="12"/>
        <v>0</v>
      </c>
      <c r="D67" s="23">
        <f t="shared" si="12"/>
        <v>0</v>
      </c>
      <c r="E67" s="23">
        <f t="shared" si="12"/>
        <v>0</v>
      </c>
      <c r="F67" s="23">
        <f t="shared" si="12"/>
        <v>1</v>
      </c>
      <c r="G67" s="23">
        <f t="shared" si="12"/>
        <v>0</v>
      </c>
      <c r="H67" s="23">
        <f t="shared" si="12"/>
        <v>0</v>
      </c>
      <c r="I67" s="23">
        <f t="shared" si="12"/>
        <v>0</v>
      </c>
      <c r="J67" s="23">
        <f t="shared" si="12"/>
        <v>0</v>
      </c>
    </row>
    <row r="68" spans="1:11" x14ac:dyDescent="0.25">
      <c r="A68" s="88">
        <v>1.5</v>
      </c>
      <c r="B68" s="23">
        <f t="shared" ref="B68:J68" si="13">COUNTIF(B3:B52,1.5)</f>
        <v>0</v>
      </c>
      <c r="C68" s="23">
        <f t="shared" si="13"/>
        <v>0</v>
      </c>
      <c r="D68" s="23">
        <f t="shared" si="13"/>
        <v>0</v>
      </c>
      <c r="E68" s="23">
        <f t="shared" si="13"/>
        <v>0</v>
      </c>
      <c r="F68" s="23">
        <f t="shared" si="13"/>
        <v>0</v>
      </c>
      <c r="G68" s="23">
        <f t="shared" si="13"/>
        <v>0</v>
      </c>
      <c r="H68" s="23">
        <f t="shared" si="13"/>
        <v>0</v>
      </c>
      <c r="I68" s="23">
        <f t="shared" si="13"/>
        <v>0</v>
      </c>
      <c r="J68" s="23">
        <f t="shared" si="13"/>
        <v>0</v>
      </c>
    </row>
    <row r="69" spans="1:11" x14ac:dyDescent="0.25">
      <c r="A69" s="88"/>
      <c r="B69" s="89">
        <f t="shared" ref="B69:J69" si="14">SUM(B56:B68)</f>
        <v>50</v>
      </c>
      <c r="C69" s="89">
        <f t="shared" si="14"/>
        <v>50</v>
      </c>
      <c r="D69" s="89">
        <f t="shared" si="14"/>
        <v>50</v>
      </c>
      <c r="E69" s="89">
        <f t="shared" si="14"/>
        <v>50</v>
      </c>
      <c r="F69" s="89">
        <f t="shared" si="14"/>
        <v>50</v>
      </c>
      <c r="G69" s="89">
        <f t="shared" si="14"/>
        <v>50</v>
      </c>
      <c r="H69" s="89">
        <f t="shared" si="14"/>
        <v>50</v>
      </c>
      <c r="I69" s="89">
        <f t="shared" si="14"/>
        <v>50</v>
      </c>
      <c r="J69" s="89">
        <f t="shared" si="14"/>
        <v>50</v>
      </c>
    </row>
    <row r="70" spans="1:11" x14ac:dyDescent="0.25">
      <c r="A70" s="52"/>
    </row>
    <row r="71" spans="1:11" s="25" customFormat="1" x14ac:dyDescent="0.25">
      <c r="A71" s="29" t="s">
        <v>53</v>
      </c>
      <c r="B71" s="24">
        <f>SUM(B58:B62)</f>
        <v>4</v>
      </c>
      <c r="C71" s="26">
        <f t="shared" ref="C71:J71" si="15">SUM(C58:C62)</f>
        <v>36</v>
      </c>
      <c r="D71" s="26">
        <f t="shared" si="15"/>
        <v>42</v>
      </c>
      <c r="E71" s="24">
        <f t="shared" si="15"/>
        <v>23</v>
      </c>
      <c r="F71" s="24">
        <f t="shared" si="15"/>
        <v>6</v>
      </c>
      <c r="G71" s="24">
        <f t="shared" si="15"/>
        <v>8</v>
      </c>
      <c r="H71" s="24">
        <f t="shared" si="15"/>
        <v>7</v>
      </c>
      <c r="I71" s="24">
        <f t="shared" si="15"/>
        <v>4</v>
      </c>
      <c r="J71" s="24">
        <f t="shared" si="15"/>
        <v>21</v>
      </c>
      <c r="K71" s="25" t="s">
        <v>55</v>
      </c>
    </row>
    <row r="72" spans="1:11" x14ac:dyDescent="0.25">
      <c r="A72" s="53" t="s">
        <v>54</v>
      </c>
      <c r="B72" s="86">
        <f>SUM(B63:B68)</f>
        <v>46</v>
      </c>
      <c r="C72" s="24">
        <f t="shared" ref="C72:J72" si="16">SUM(C63:C68)</f>
        <v>12</v>
      </c>
      <c r="D72" s="24">
        <f t="shared" si="16"/>
        <v>7</v>
      </c>
      <c r="E72" s="86">
        <f t="shared" si="16"/>
        <v>27</v>
      </c>
      <c r="F72" s="86">
        <f t="shared" si="16"/>
        <v>44</v>
      </c>
      <c r="G72" s="86">
        <f t="shared" si="16"/>
        <v>42</v>
      </c>
      <c r="H72" s="86">
        <f t="shared" si="16"/>
        <v>43</v>
      </c>
      <c r="I72" s="86">
        <f t="shared" si="16"/>
        <v>46</v>
      </c>
      <c r="J72" s="86">
        <f t="shared" si="16"/>
        <v>29</v>
      </c>
      <c r="K72" s="53" t="s">
        <v>56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P15" sqref="P15"/>
    </sheetView>
  </sheetViews>
  <sheetFormatPr defaultRowHeight="15" x14ac:dyDescent="0.25"/>
  <cols>
    <col min="1" max="1" width="10.140625" bestFit="1" customWidth="1"/>
    <col min="10" max="10" width="17.42578125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35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76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0">
        <v>55</v>
      </c>
      <c r="C3" s="41">
        <v>13</v>
      </c>
      <c r="D3" s="65">
        <v>51</v>
      </c>
      <c r="E3" s="67">
        <v>53</v>
      </c>
      <c r="F3" s="65">
        <v>53</v>
      </c>
      <c r="G3" s="65">
        <v>53</v>
      </c>
      <c r="H3" s="67">
        <v>53</v>
      </c>
      <c r="I3" s="72">
        <v>51</v>
      </c>
      <c r="J3" s="47">
        <v>53</v>
      </c>
    </row>
    <row r="4" spans="1:13" x14ac:dyDescent="0.25">
      <c r="A4" s="15">
        <v>2</v>
      </c>
      <c r="B4" s="44">
        <v>55</v>
      </c>
      <c r="C4" s="45">
        <v>13</v>
      </c>
      <c r="D4" s="65">
        <v>51</v>
      </c>
      <c r="E4" s="67">
        <v>53</v>
      </c>
      <c r="F4" s="44">
        <v>51</v>
      </c>
      <c r="G4" s="65">
        <v>53</v>
      </c>
      <c r="H4" s="45">
        <v>55</v>
      </c>
      <c r="I4" s="73">
        <v>53</v>
      </c>
      <c r="J4" s="47">
        <v>53</v>
      </c>
      <c r="M4" s="47">
        <f>MAX(B3:I52)</f>
        <v>59</v>
      </c>
    </row>
    <row r="5" spans="1:13" x14ac:dyDescent="0.25">
      <c r="A5" s="15">
        <v>3</v>
      </c>
      <c r="B5" s="44">
        <v>53</v>
      </c>
      <c r="C5" s="45">
        <v>12</v>
      </c>
      <c r="D5" s="65">
        <v>51</v>
      </c>
      <c r="E5" s="67">
        <v>51</v>
      </c>
      <c r="F5" s="44">
        <v>53</v>
      </c>
      <c r="G5" s="65">
        <v>53</v>
      </c>
      <c r="H5" s="45">
        <v>55</v>
      </c>
      <c r="I5" s="73">
        <v>53</v>
      </c>
      <c r="J5" s="47">
        <v>53</v>
      </c>
      <c r="M5" s="47">
        <f>MIN(B3:I52)</f>
        <v>10</v>
      </c>
    </row>
    <row r="6" spans="1:13" x14ac:dyDescent="0.25">
      <c r="A6" s="15">
        <v>4</v>
      </c>
      <c r="B6" s="44">
        <v>53</v>
      </c>
      <c r="C6" s="45">
        <v>51</v>
      </c>
      <c r="D6" s="44">
        <v>51</v>
      </c>
      <c r="E6" s="67">
        <v>53</v>
      </c>
      <c r="F6" s="44">
        <v>53</v>
      </c>
      <c r="G6" s="65">
        <v>53</v>
      </c>
      <c r="H6" s="45">
        <v>53</v>
      </c>
      <c r="I6" s="73">
        <v>55</v>
      </c>
      <c r="J6" s="47">
        <v>53</v>
      </c>
    </row>
    <row r="7" spans="1:13" x14ac:dyDescent="0.25">
      <c r="A7" s="15">
        <v>5</v>
      </c>
      <c r="B7" s="44">
        <v>53</v>
      </c>
      <c r="C7" s="45">
        <v>53</v>
      </c>
      <c r="D7" s="44">
        <v>53</v>
      </c>
      <c r="E7" s="44">
        <v>53</v>
      </c>
      <c r="F7" s="44">
        <v>53</v>
      </c>
      <c r="G7" s="65">
        <v>53</v>
      </c>
      <c r="H7" s="45">
        <v>52</v>
      </c>
      <c r="I7" s="73">
        <v>55</v>
      </c>
      <c r="J7" s="47">
        <v>51</v>
      </c>
    </row>
    <row r="8" spans="1:13" x14ac:dyDescent="0.25">
      <c r="A8" s="15">
        <v>6</v>
      </c>
      <c r="B8" s="44">
        <v>53</v>
      </c>
      <c r="C8" s="45">
        <v>14</v>
      </c>
      <c r="D8" s="44">
        <v>51</v>
      </c>
      <c r="E8" s="66">
        <v>51</v>
      </c>
      <c r="F8" s="44">
        <v>51</v>
      </c>
      <c r="G8" s="63">
        <v>52</v>
      </c>
      <c r="H8" s="45">
        <v>53</v>
      </c>
      <c r="I8" s="73">
        <v>53</v>
      </c>
      <c r="J8" s="47">
        <v>53</v>
      </c>
    </row>
    <row r="9" spans="1:13" x14ac:dyDescent="0.25">
      <c r="A9" s="15">
        <v>7</v>
      </c>
      <c r="B9" s="44">
        <v>51</v>
      </c>
      <c r="C9" s="45">
        <v>53</v>
      </c>
      <c r="D9" s="44">
        <v>51</v>
      </c>
      <c r="E9" s="63">
        <v>51</v>
      </c>
      <c r="F9" s="44">
        <v>51</v>
      </c>
      <c r="G9" s="63">
        <v>52</v>
      </c>
      <c r="H9" s="45">
        <v>52</v>
      </c>
      <c r="I9" s="73">
        <v>53</v>
      </c>
      <c r="J9" s="47">
        <v>51</v>
      </c>
    </row>
    <row r="10" spans="1:13" x14ac:dyDescent="0.25">
      <c r="A10" s="15">
        <v>8</v>
      </c>
      <c r="B10" s="44">
        <v>53</v>
      </c>
      <c r="C10" s="45">
        <v>51</v>
      </c>
      <c r="D10" s="44">
        <v>51</v>
      </c>
      <c r="E10" s="63">
        <v>53</v>
      </c>
      <c r="F10" s="44">
        <v>51</v>
      </c>
      <c r="G10" s="44">
        <v>51</v>
      </c>
      <c r="H10" s="45">
        <v>53</v>
      </c>
      <c r="I10" s="73">
        <v>53</v>
      </c>
      <c r="J10" s="47">
        <v>53</v>
      </c>
    </row>
    <row r="11" spans="1:13" x14ac:dyDescent="0.25">
      <c r="A11" s="15">
        <v>9</v>
      </c>
      <c r="B11" s="44">
        <v>53</v>
      </c>
      <c r="C11" s="45">
        <v>51</v>
      </c>
      <c r="D11" s="44">
        <v>51</v>
      </c>
      <c r="E11" s="63">
        <v>53</v>
      </c>
      <c r="F11" s="44">
        <v>10</v>
      </c>
      <c r="G11" s="44">
        <v>51</v>
      </c>
      <c r="H11" s="45">
        <v>53</v>
      </c>
      <c r="I11" s="73">
        <v>53</v>
      </c>
      <c r="J11" s="47">
        <v>53</v>
      </c>
    </row>
    <row r="12" spans="1:13" ht="15.75" thickBot="1" x14ac:dyDescent="0.3">
      <c r="A12" s="17">
        <v>10</v>
      </c>
      <c r="B12" s="48">
        <v>53</v>
      </c>
      <c r="C12" s="48">
        <v>51</v>
      </c>
      <c r="D12" s="48">
        <v>51</v>
      </c>
      <c r="E12" s="63">
        <v>53</v>
      </c>
      <c r="F12" s="48">
        <v>10</v>
      </c>
      <c r="G12" s="44">
        <v>51</v>
      </c>
      <c r="H12" s="49">
        <v>53</v>
      </c>
      <c r="I12" s="74">
        <v>53</v>
      </c>
      <c r="J12" s="47">
        <v>53</v>
      </c>
    </row>
    <row r="13" spans="1:13" x14ac:dyDescent="0.25">
      <c r="A13" s="12">
        <v>11</v>
      </c>
      <c r="B13" s="40">
        <v>53</v>
      </c>
      <c r="C13" s="65">
        <v>51</v>
      </c>
      <c r="D13" s="65">
        <v>51</v>
      </c>
      <c r="E13" s="40">
        <v>53</v>
      </c>
      <c r="F13" s="65">
        <v>55</v>
      </c>
      <c r="G13" s="40">
        <v>53</v>
      </c>
      <c r="H13" s="67">
        <v>53</v>
      </c>
      <c r="I13" s="75">
        <v>53</v>
      </c>
      <c r="J13" s="47">
        <v>53</v>
      </c>
    </row>
    <row r="14" spans="1:13" x14ac:dyDescent="0.25">
      <c r="A14" s="15">
        <v>12</v>
      </c>
      <c r="B14" s="44">
        <v>53</v>
      </c>
      <c r="C14" s="44">
        <v>51</v>
      </c>
      <c r="D14" s="65">
        <v>51</v>
      </c>
      <c r="E14" s="44">
        <v>53</v>
      </c>
      <c r="F14" s="44">
        <v>53</v>
      </c>
      <c r="G14" s="44">
        <v>51</v>
      </c>
      <c r="H14" s="45">
        <v>55</v>
      </c>
      <c r="I14" s="73">
        <v>53</v>
      </c>
      <c r="J14" s="47">
        <v>53</v>
      </c>
    </row>
    <row r="15" spans="1:13" x14ac:dyDescent="0.25">
      <c r="A15" s="15">
        <v>13</v>
      </c>
      <c r="B15" s="44">
        <v>51</v>
      </c>
      <c r="C15" s="65">
        <v>51</v>
      </c>
      <c r="D15" s="65">
        <v>51</v>
      </c>
      <c r="E15" s="44">
        <v>53</v>
      </c>
      <c r="F15" s="44">
        <v>51</v>
      </c>
      <c r="G15" s="44">
        <v>53</v>
      </c>
      <c r="H15" s="45">
        <v>53</v>
      </c>
      <c r="I15" s="73">
        <v>55</v>
      </c>
      <c r="J15" s="47">
        <v>51</v>
      </c>
    </row>
    <row r="16" spans="1:13" x14ac:dyDescent="0.25">
      <c r="A16" s="15">
        <v>14</v>
      </c>
      <c r="B16" s="44">
        <v>51</v>
      </c>
      <c r="C16" s="44">
        <v>14</v>
      </c>
      <c r="D16" s="65">
        <v>51</v>
      </c>
      <c r="E16" s="44">
        <v>51</v>
      </c>
      <c r="F16" s="44">
        <v>51</v>
      </c>
      <c r="G16" s="44">
        <v>53</v>
      </c>
      <c r="H16" s="45">
        <v>55</v>
      </c>
      <c r="I16" s="73">
        <v>53</v>
      </c>
      <c r="J16" s="47">
        <v>53</v>
      </c>
    </row>
    <row r="17" spans="1:10" x14ac:dyDescent="0.25">
      <c r="A17" s="15">
        <v>15</v>
      </c>
      <c r="B17" s="44">
        <v>51</v>
      </c>
      <c r="C17" s="44">
        <v>51</v>
      </c>
      <c r="D17" s="65">
        <v>51</v>
      </c>
      <c r="E17" s="44">
        <v>51</v>
      </c>
      <c r="F17" s="44">
        <v>51</v>
      </c>
      <c r="G17" s="44">
        <v>53</v>
      </c>
      <c r="H17" s="45">
        <v>53</v>
      </c>
      <c r="I17" s="73">
        <v>53</v>
      </c>
      <c r="J17" s="47">
        <v>53</v>
      </c>
    </row>
    <row r="18" spans="1:10" x14ac:dyDescent="0.25">
      <c r="A18" s="15">
        <v>16</v>
      </c>
      <c r="B18" s="44">
        <v>51</v>
      </c>
      <c r="C18" s="44">
        <v>51</v>
      </c>
      <c r="D18" s="65">
        <v>51</v>
      </c>
      <c r="E18" s="44">
        <v>51</v>
      </c>
      <c r="F18" s="44">
        <v>51</v>
      </c>
      <c r="G18" s="44">
        <v>53</v>
      </c>
      <c r="H18" s="45">
        <v>55</v>
      </c>
      <c r="I18" s="73">
        <v>53</v>
      </c>
      <c r="J18" s="47">
        <v>53</v>
      </c>
    </row>
    <row r="19" spans="1:10" x14ac:dyDescent="0.25">
      <c r="A19" s="15">
        <v>17</v>
      </c>
      <c r="B19" s="44">
        <v>51</v>
      </c>
      <c r="C19" s="44">
        <v>51</v>
      </c>
      <c r="D19" s="65">
        <v>51</v>
      </c>
      <c r="E19" s="44">
        <v>51</v>
      </c>
      <c r="F19" s="44">
        <v>51</v>
      </c>
      <c r="G19" s="44">
        <v>53</v>
      </c>
      <c r="H19" s="45">
        <v>53</v>
      </c>
      <c r="I19" s="73">
        <v>53</v>
      </c>
      <c r="J19" s="47">
        <v>53</v>
      </c>
    </row>
    <row r="20" spans="1:10" x14ac:dyDescent="0.25">
      <c r="A20" s="15">
        <v>18</v>
      </c>
      <c r="B20" s="44">
        <v>51</v>
      </c>
      <c r="C20" s="44">
        <v>51</v>
      </c>
      <c r="D20" s="65">
        <v>51</v>
      </c>
      <c r="E20" s="44">
        <v>53</v>
      </c>
      <c r="F20" s="44">
        <v>53</v>
      </c>
      <c r="G20" s="44">
        <v>51</v>
      </c>
      <c r="H20" s="45">
        <v>53</v>
      </c>
      <c r="I20" s="73">
        <v>53</v>
      </c>
      <c r="J20" s="47">
        <v>53</v>
      </c>
    </row>
    <row r="21" spans="1:10" x14ac:dyDescent="0.25">
      <c r="A21" s="15">
        <v>19</v>
      </c>
      <c r="B21" s="44">
        <v>51</v>
      </c>
      <c r="C21" s="44">
        <v>51</v>
      </c>
      <c r="D21" s="65">
        <v>51</v>
      </c>
      <c r="E21" s="44">
        <v>53</v>
      </c>
      <c r="F21" s="44">
        <v>51</v>
      </c>
      <c r="G21" s="44">
        <v>53</v>
      </c>
      <c r="H21" s="45">
        <v>55</v>
      </c>
      <c r="I21" s="73">
        <v>53</v>
      </c>
      <c r="J21" s="47">
        <v>53</v>
      </c>
    </row>
    <row r="22" spans="1:10" ht="15.75" thickBot="1" x14ac:dyDescent="0.3">
      <c r="A22" s="17">
        <v>20</v>
      </c>
      <c r="B22" s="44">
        <v>51</v>
      </c>
      <c r="C22" s="44">
        <v>51</v>
      </c>
      <c r="D22" s="65">
        <v>51</v>
      </c>
      <c r="E22" s="48">
        <v>53</v>
      </c>
      <c r="F22" s="48">
        <v>53</v>
      </c>
      <c r="G22" s="48">
        <v>53</v>
      </c>
      <c r="H22" s="49">
        <v>55</v>
      </c>
      <c r="I22" s="74">
        <v>53</v>
      </c>
      <c r="J22" s="47">
        <v>53</v>
      </c>
    </row>
    <row r="23" spans="1:10" x14ac:dyDescent="0.25">
      <c r="A23" s="12">
        <v>21</v>
      </c>
      <c r="B23" s="40">
        <v>53</v>
      </c>
      <c r="C23" s="40">
        <v>51</v>
      </c>
      <c r="D23" s="40">
        <v>51</v>
      </c>
      <c r="E23" s="40">
        <v>55</v>
      </c>
      <c r="F23" s="69">
        <v>53</v>
      </c>
      <c r="G23" s="40">
        <v>53</v>
      </c>
      <c r="H23" s="65">
        <v>55</v>
      </c>
      <c r="I23" s="71">
        <v>51</v>
      </c>
      <c r="J23" s="43">
        <v>53</v>
      </c>
    </row>
    <row r="24" spans="1:10" x14ac:dyDescent="0.25">
      <c r="A24" s="15">
        <v>22</v>
      </c>
      <c r="B24" s="44">
        <v>51</v>
      </c>
      <c r="C24" s="44">
        <v>51</v>
      </c>
      <c r="D24" s="44">
        <v>53</v>
      </c>
      <c r="E24" s="44">
        <v>53</v>
      </c>
      <c r="F24" s="44">
        <v>51</v>
      </c>
      <c r="G24" s="44">
        <v>53</v>
      </c>
      <c r="H24" s="44">
        <v>55</v>
      </c>
      <c r="I24" s="46">
        <v>53</v>
      </c>
      <c r="J24" s="43">
        <v>53</v>
      </c>
    </row>
    <row r="25" spans="1:10" x14ac:dyDescent="0.25">
      <c r="A25" s="15">
        <v>23</v>
      </c>
      <c r="B25" s="44">
        <v>51</v>
      </c>
      <c r="C25" s="44">
        <v>51</v>
      </c>
      <c r="D25" s="44">
        <v>51</v>
      </c>
      <c r="E25" s="44">
        <v>51</v>
      </c>
      <c r="F25" s="65">
        <v>51</v>
      </c>
      <c r="G25" s="44">
        <v>53</v>
      </c>
      <c r="H25" s="44">
        <v>53</v>
      </c>
      <c r="I25" s="46">
        <v>53</v>
      </c>
      <c r="J25" s="43">
        <v>51</v>
      </c>
    </row>
    <row r="26" spans="1:10" x14ac:dyDescent="0.25">
      <c r="A26" s="15">
        <v>24</v>
      </c>
      <c r="B26" s="44">
        <v>53</v>
      </c>
      <c r="C26" s="44">
        <v>12</v>
      </c>
      <c r="D26" s="44">
        <v>51</v>
      </c>
      <c r="E26" s="44">
        <v>51</v>
      </c>
      <c r="F26" s="44">
        <v>53</v>
      </c>
      <c r="G26" s="44">
        <v>51</v>
      </c>
      <c r="H26" s="44">
        <v>53</v>
      </c>
      <c r="I26" s="46">
        <v>53</v>
      </c>
      <c r="J26" s="43">
        <v>53</v>
      </c>
    </row>
    <row r="27" spans="1:10" x14ac:dyDescent="0.25">
      <c r="A27" s="15">
        <v>25</v>
      </c>
      <c r="B27" s="44">
        <v>55</v>
      </c>
      <c r="C27" s="44">
        <v>11</v>
      </c>
      <c r="D27" s="44">
        <v>51</v>
      </c>
      <c r="E27" s="44">
        <v>51</v>
      </c>
      <c r="F27" s="44">
        <v>51</v>
      </c>
      <c r="G27" s="44">
        <v>51</v>
      </c>
      <c r="H27" s="44">
        <v>51</v>
      </c>
      <c r="I27" s="46">
        <v>53</v>
      </c>
      <c r="J27" s="43">
        <v>53</v>
      </c>
    </row>
    <row r="28" spans="1:10" x14ac:dyDescent="0.25">
      <c r="A28" s="15">
        <v>26</v>
      </c>
      <c r="B28" s="44">
        <v>53</v>
      </c>
      <c r="C28" s="44">
        <v>10</v>
      </c>
      <c r="D28" s="44">
        <v>59</v>
      </c>
      <c r="E28" s="44">
        <v>51</v>
      </c>
      <c r="F28" s="44">
        <v>51</v>
      </c>
      <c r="G28" s="44">
        <v>51</v>
      </c>
      <c r="H28" s="44">
        <v>53</v>
      </c>
      <c r="I28" s="46">
        <v>53</v>
      </c>
      <c r="J28" s="43">
        <v>53</v>
      </c>
    </row>
    <row r="29" spans="1:10" x14ac:dyDescent="0.25">
      <c r="A29" s="15">
        <v>27</v>
      </c>
      <c r="B29" s="44">
        <v>53</v>
      </c>
      <c r="C29" s="44">
        <v>12</v>
      </c>
      <c r="D29" s="44">
        <v>53</v>
      </c>
      <c r="E29" s="44">
        <v>53</v>
      </c>
      <c r="F29" s="44">
        <v>51</v>
      </c>
      <c r="G29" s="44">
        <v>51</v>
      </c>
      <c r="H29" s="44">
        <v>53</v>
      </c>
      <c r="I29" s="46">
        <v>53</v>
      </c>
      <c r="J29" s="43">
        <v>53</v>
      </c>
    </row>
    <row r="30" spans="1:10" x14ac:dyDescent="0.25">
      <c r="A30" s="15">
        <v>28</v>
      </c>
      <c r="B30" s="44">
        <v>53</v>
      </c>
      <c r="C30" s="44">
        <v>13</v>
      </c>
      <c r="D30" s="44">
        <v>52</v>
      </c>
      <c r="E30" s="44">
        <v>53</v>
      </c>
      <c r="F30" s="44">
        <v>51</v>
      </c>
      <c r="G30" s="44">
        <v>51</v>
      </c>
      <c r="H30" s="44">
        <v>51</v>
      </c>
      <c r="I30" s="46">
        <v>53</v>
      </c>
      <c r="J30" s="43">
        <v>53</v>
      </c>
    </row>
    <row r="31" spans="1:10" x14ac:dyDescent="0.25">
      <c r="A31" s="15">
        <v>29</v>
      </c>
      <c r="B31" s="44">
        <v>51</v>
      </c>
      <c r="C31" s="44">
        <v>11</v>
      </c>
      <c r="D31" s="44">
        <v>51</v>
      </c>
      <c r="E31" s="44">
        <v>53</v>
      </c>
      <c r="F31" s="44">
        <v>51</v>
      </c>
      <c r="G31" s="44">
        <v>53</v>
      </c>
      <c r="H31" s="44">
        <v>53</v>
      </c>
      <c r="I31" s="46">
        <v>53</v>
      </c>
      <c r="J31" s="43">
        <v>53</v>
      </c>
    </row>
    <row r="32" spans="1:10" ht="15.75" thickBot="1" x14ac:dyDescent="0.3">
      <c r="A32" s="17">
        <v>30</v>
      </c>
      <c r="B32" s="48">
        <v>51</v>
      </c>
      <c r="C32" s="48">
        <v>13</v>
      </c>
      <c r="D32" s="48">
        <v>51</v>
      </c>
      <c r="E32" s="48">
        <v>51</v>
      </c>
      <c r="F32" s="48">
        <v>51</v>
      </c>
      <c r="G32" s="48">
        <v>55</v>
      </c>
      <c r="H32" s="48">
        <v>53</v>
      </c>
      <c r="I32" s="46">
        <v>53</v>
      </c>
      <c r="J32" s="43">
        <v>53</v>
      </c>
    </row>
    <row r="33" spans="1:10" x14ac:dyDescent="0.25">
      <c r="A33" s="12">
        <v>31</v>
      </c>
      <c r="B33" s="40">
        <v>51</v>
      </c>
      <c r="C33" s="40">
        <v>11</v>
      </c>
      <c r="D33" s="65">
        <v>51</v>
      </c>
      <c r="E33" s="40">
        <v>51</v>
      </c>
      <c r="F33" s="65">
        <v>51</v>
      </c>
      <c r="G33" s="40">
        <v>53</v>
      </c>
      <c r="H33" s="65">
        <v>53</v>
      </c>
      <c r="I33" s="42">
        <v>53</v>
      </c>
      <c r="J33" s="43">
        <v>53</v>
      </c>
    </row>
    <row r="34" spans="1:10" x14ac:dyDescent="0.25">
      <c r="A34" s="15">
        <v>32</v>
      </c>
      <c r="B34" s="44">
        <v>53</v>
      </c>
      <c r="C34" s="44">
        <v>10</v>
      </c>
      <c r="D34" s="44">
        <v>53</v>
      </c>
      <c r="E34" s="44">
        <v>51</v>
      </c>
      <c r="F34" s="44">
        <v>51</v>
      </c>
      <c r="G34" s="70">
        <v>53</v>
      </c>
      <c r="H34" s="44">
        <v>53</v>
      </c>
      <c r="I34" s="46">
        <v>53</v>
      </c>
      <c r="J34" s="43">
        <v>53</v>
      </c>
    </row>
    <row r="35" spans="1:10" x14ac:dyDescent="0.25">
      <c r="A35" s="15">
        <v>33</v>
      </c>
      <c r="B35" s="44">
        <v>51</v>
      </c>
      <c r="C35" s="44">
        <v>53</v>
      </c>
      <c r="D35" s="44">
        <v>53</v>
      </c>
      <c r="E35" s="44">
        <v>53</v>
      </c>
      <c r="F35" s="44">
        <v>51</v>
      </c>
      <c r="G35" s="44">
        <v>53</v>
      </c>
      <c r="H35" s="44">
        <v>51</v>
      </c>
      <c r="I35" s="46">
        <v>51</v>
      </c>
      <c r="J35" s="43">
        <v>53</v>
      </c>
    </row>
    <row r="36" spans="1:10" x14ac:dyDescent="0.25">
      <c r="A36" s="15">
        <v>34</v>
      </c>
      <c r="B36" s="44">
        <v>55</v>
      </c>
      <c r="C36" s="44">
        <v>53</v>
      </c>
      <c r="D36" s="44">
        <v>53</v>
      </c>
      <c r="E36" s="44">
        <v>53</v>
      </c>
      <c r="F36" s="44">
        <v>51</v>
      </c>
      <c r="G36" s="44">
        <v>53</v>
      </c>
      <c r="H36" s="44">
        <v>51</v>
      </c>
      <c r="I36" s="46">
        <v>53</v>
      </c>
      <c r="J36" s="43">
        <v>53</v>
      </c>
    </row>
    <row r="37" spans="1:10" x14ac:dyDescent="0.25">
      <c r="A37" s="15">
        <v>35</v>
      </c>
      <c r="B37" s="44">
        <v>55</v>
      </c>
      <c r="C37" s="44">
        <v>51</v>
      </c>
      <c r="D37" s="44">
        <v>53</v>
      </c>
      <c r="E37" s="44">
        <v>53</v>
      </c>
      <c r="F37" s="44">
        <v>51</v>
      </c>
      <c r="G37" s="44">
        <v>55</v>
      </c>
      <c r="H37" s="44">
        <v>53</v>
      </c>
      <c r="I37" s="46">
        <v>53</v>
      </c>
      <c r="J37" s="43">
        <v>53</v>
      </c>
    </row>
    <row r="38" spans="1:10" x14ac:dyDescent="0.25">
      <c r="A38" s="15">
        <v>36</v>
      </c>
      <c r="B38" s="44">
        <v>51</v>
      </c>
      <c r="C38" s="44">
        <v>14</v>
      </c>
      <c r="D38" s="44">
        <v>53</v>
      </c>
      <c r="E38" s="44">
        <v>53</v>
      </c>
      <c r="F38" s="44">
        <v>51</v>
      </c>
      <c r="G38" s="44">
        <v>55</v>
      </c>
      <c r="H38" s="44">
        <v>53</v>
      </c>
      <c r="I38" s="46">
        <v>55</v>
      </c>
      <c r="J38" s="43">
        <v>53</v>
      </c>
    </row>
    <row r="39" spans="1:10" x14ac:dyDescent="0.25">
      <c r="A39" s="15">
        <v>37</v>
      </c>
      <c r="B39" s="44">
        <v>51</v>
      </c>
      <c r="C39" s="44">
        <v>51</v>
      </c>
      <c r="D39" s="44">
        <v>51</v>
      </c>
      <c r="E39" s="44">
        <v>53</v>
      </c>
      <c r="F39" s="44">
        <v>51</v>
      </c>
      <c r="G39" s="44">
        <v>53</v>
      </c>
      <c r="H39" s="44">
        <v>55</v>
      </c>
      <c r="I39" s="46">
        <v>55</v>
      </c>
      <c r="J39" s="43">
        <v>51</v>
      </c>
    </row>
    <row r="40" spans="1:10" x14ac:dyDescent="0.25">
      <c r="A40" s="15">
        <v>38</v>
      </c>
      <c r="B40" s="44">
        <v>51</v>
      </c>
      <c r="C40" s="44">
        <v>11</v>
      </c>
      <c r="D40" s="44">
        <v>51</v>
      </c>
      <c r="E40" s="44">
        <v>53</v>
      </c>
      <c r="F40" s="44">
        <v>51</v>
      </c>
      <c r="G40" s="44">
        <v>53</v>
      </c>
      <c r="H40" s="44">
        <v>53</v>
      </c>
      <c r="I40" s="46">
        <v>51</v>
      </c>
      <c r="J40" s="43">
        <v>51</v>
      </c>
    </row>
    <row r="41" spans="1:10" x14ac:dyDescent="0.25">
      <c r="A41" s="15">
        <v>39</v>
      </c>
      <c r="B41" s="44">
        <v>55</v>
      </c>
      <c r="C41" s="44">
        <v>12</v>
      </c>
      <c r="D41" s="44">
        <v>51</v>
      </c>
      <c r="E41" s="44">
        <v>53</v>
      </c>
      <c r="F41" s="44">
        <v>51</v>
      </c>
      <c r="G41" s="44">
        <v>53</v>
      </c>
      <c r="H41" s="44">
        <v>51</v>
      </c>
      <c r="I41" s="46">
        <v>51</v>
      </c>
      <c r="J41" s="43">
        <v>51</v>
      </c>
    </row>
    <row r="42" spans="1:10" ht="15.75" thickBot="1" x14ac:dyDescent="0.3">
      <c r="A42" s="17">
        <v>40</v>
      </c>
      <c r="B42" s="48">
        <v>53</v>
      </c>
      <c r="C42" s="48">
        <v>12</v>
      </c>
      <c r="D42" s="48">
        <v>51</v>
      </c>
      <c r="E42" s="48">
        <v>53</v>
      </c>
      <c r="F42" s="48">
        <v>51</v>
      </c>
      <c r="G42" s="44">
        <v>51</v>
      </c>
      <c r="H42" s="48">
        <v>53</v>
      </c>
      <c r="I42" s="50">
        <v>51</v>
      </c>
      <c r="J42" s="43">
        <v>53</v>
      </c>
    </row>
    <row r="43" spans="1:10" x14ac:dyDescent="0.25">
      <c r="A43" s="12">
        <v>41</v>
      </c>
      <c r="B43" s="40">
        <v>53</v>
      </c>
      <c r="C43" s="40">
        <v>11</v>
      </c>
      <c r="D43" s="65">
        <v>51</v>
      </c>
      <c r="E43" s="65">
        <v>53</v>
      </c>
      <c r="F43" s="65">
        <v>51</v>
      </c>
      <c r="G43" s="40">
        <v>51</v>
      </c>
      <c r="H43" s="65">
        <v>53</v>
      </c>
      <c r="I43" s="65">
        <v>53</v>
      </c>
      <c r="J43" s="47">
        <v>53</v>
      </c>
    </row>
    <row r="44" spans="1:10" x14ac:dyDescent="0.25">
      <c r="A44" s="15">
        <v>42</v>
      </c>
      <c r="B44" s="44">
        <v>53</v>
      </c>
      <c r="C44" s="44">
        <v>11</v>
      </c>
      <c r="D44" s="65">
        <v>10</v>
      </c>
      <c r="E44" s="65">
        <v>53</v>
      </c>
      <c r="F44" s="44">
        <v>53</v>
      </c>
      <c r="G44" s="44">
        <v>51</v>
      </c>
      <c r="H44" s="44">
        <v>51</v>
      </c>
      <c r="I44" s="44">
        <v>53</v>
      </c>
      <c r="J44" s="47">
        <v>55</v>
      </c>
    </row>
    <row r="45" spans="1:10" x14ac:dyDescent="0.25">
      <c r="A45" s="15">
        <v>43</v>
      </c>
      <c r="B45" s="44">
        <v>51</v>
      </c>
      <c r="C45" s="44">
        <v>51</v>
      </c>
      <c r="D45" s="65">
        <v>10</v>
      </c>
      <c r="E45" s="65">
        <v>53</v>
      </c>
      <c r="F45" s="44">
        <v>55</v>
      </c>
      <c r="G45" s="44">
        <v>51</v>
      </c>
      <c r="H45" s="44">
        <v>51</v>
      </c>
      <c r="I45" s="44">
        <v>53</v>
      </c>
      <c r="J45" s="47">
        <v>53</v>
      </c>
    </row>
    <row r="46" spans="1:10" x14ac:dyDescent="0.25">
      <c r="A46" s="15">
        <v>44</v>
      </c>
      <c r="B46" s="44">
        <v>53</v>
      </c>
      <c r="C46" s="44">
        <v>10</v>
      </c>
      <c r="D46" s="65">
        <v>55</v>
      </c>
      <c r="E46" s="65">
        <v>53</v>
      </c>
      <c r="F46" s="44">
        <v>53</v>
      </c>
      <c r="G46" s="44">
        <v>53</v>
      </c>
      <c r="H46" s="44">
        <v>51</v>
      </c>
      <c r="I46" s="44">
        <v>53</v>
      </c>
      <c r="J46" s="47">
        <v>53</v>
      </c>
    </row>
    <row r="47" spans="1:10" x14ac:dyDescent="0.25">
      <c r="A47" s="15">
        <v>45</v>
      </c>
      <c r="B47" s="44">
        <v>51</v>
      </c>
      <c r="C47" s="44">
        <v>11</v>
      </c>
      <c r="D47" s="65">
        <v>53</v>
      </c>
      <c r="E47" s="65">
        <v>53</v>
      </c>
      <c r="F47" s="44">
        <v>55</v>
      </c>
      <c r="G47" s="44">
        <v>53</v>
      </c>
      <c r="H47" s="44">
        <v>51</v>
      </c>
      <c r="I47" s="44">
        <v>53</v>
      </c>
      <c r="J47" s="47">
        <v>53</v>
      </c>
    </row>
    <row r="48" spans="1:10" x14ac:dyDescent="0.25">
      <c r="A48" s="15">
        <v>46</v>
      </c>
      <c r="B48" s="44">
        <v>51</v>
      </c>
      <c r="C48" s="44">
        <v>12</v>
      </c>
      <c r="D48" s="65">
        <v>51</v>
      </c>
      <c r="E48" s="65">
        <v>53</v>
      </c>
      <c r="F48" s="44">
        <v>53</v>
      </c>
      <c r="G48" s="44">
        <v>55</v>
      </c>
      <c r="H48" s="44">
        <v>53</v>
      </c>
      <c r="I48" s="44">
        <v>55</v>
      </c>
      <c r="J48" s="47">
        <v>53</v>
      </c>
    </row>
    <row r="49" spans="1:10" x14ac:dyDescent="0.25">
      <c r="A49" s="15">
        <v>47</v>
      </c>
      <c r="B49" s="44">
        <v>51</v>
      </c>
      <c r="C49" s="44">
        <v>51</v>
      </c>
      <c r="D49" s="65">
        <v>51</v>
      </c>
      <c r="E49" s="65">
        <v>53</v>
      </c>
      <c r="F49" s="44">
        <v>55</v>
      </c>
      <c r="G49" s="44">
        <v>53</v>
      </c>
      <c r="H49" s="44">
        <v>51</v>
      </c>
      <c r="I49" s="71">
        <v>55</v>
      </c>
      <c r="J49" s="43">
        <v>51</v>
      </c>
    </row>
    <row r="50" spans="1:10" x14ac:dyDescent="0.25">
      <c r="A50" s="15">
        <v>48</v>
      </c>
      <c r="B50" s="44">
        <v>51</v>
      </c>
      <c r="C50" s="44">
        <v>51</v>
      </c>
      <c r="D50" s="65">
        <v>53</v>
      </c>
      <c r="E50" s="65">
        <v>53</v>
      </c>
      <c r="F50" s="44">
        <v>53</v>
      </c>
      <c r="G50" s="44">
        <v>51</v>
      </c>
      <c r="H50" s="44">
        <v>53</v>
      </c>
      <c r="I50" s="46">
        <v>53</v>
      </c>
      <c r="J50" s="43">
        <v>53</v>
      </c>
    </row>
    <row r="51" spans="1:10" x14ac:dyDescent="0.25">
      <c r="A51" s="15">
        <v>49</v>
      </c>
      <c r="B51" s="44">
        <v>51</v>
      </c>
      <c r="C51" s="44">
        <v>51</v>
      </c>
      <c r="D51" s="65">
        <v>51</v>
      </c>
      <c r="E51" s="65">
        <v>53</v>
      </c>
      <c r="F51" s="44">
        <v>53</v>
      </c>
      <c r="G51" s="44">
        <v>53</v>
      </c>
      <c r="H51" s="44">
        <v>53</v>
      </c>
      <c r="I51" s="46">
        <v>53</v>
      </c>
      <c r="J51" s="43">
        <v>51</v>
      </c>
    </row>
    <row r="52" spans="1:10" ht="15.75" thickBot="1" x14ac:dyDescent="0.3">
      <c r="A52" s="17">
        <v>50</v>
      </c>
      <c r="B52" s="48">
        <v>51</v>
      </c>
      <c r="C52" s="48">
        <v>10</v>
      </c>
      <c r="D52" s="48">
        <v>53</v>
      </c>
      <c r="E52" s="48">
        <v>53</v>
      </c>
      <c r="F52" s="48">
        <v>53</v>
      </c>
      <c r="G52" s="48">
        <v>51</v>
      </c>
      <c r="H52" s="48">
        <v>55</v>
      </c>
      <c r="I52" s="50">
        <v>53</v>
      </c>
      <c r="J52" s="43">
        <v>53</v>
      </c>
    </row>
    <row r="53" spans="1:10" x14ac:dyDescent="0.25">
      <c r="A53" s="5"/>
    </row>
    <row r="54" spans="1:10" x14ac:dyDescent="0.25">
      <c r="A54" s="22" t="s">
        <v>52</v>
      </c>
      <c r="B54" s="23">
        <f t="shared" ref="B54:J54" si="0">AVERAGE(B3:B52)</f>
        <v>52.24</v>
      </c>
      <c r="C54" s="23">
        <f t="shared" si="0"/>
        <v>32.340000000000003</v>
      </c>
      <c r="D54" s="23">
        <f t="shared" si="0"/>
        <v>50.06</v>
      </c>
      <c r="E54" s="23">
        <f t="shared" si="0"/>
        <v>52.48</v>
      </c>
      <c r="F54" s="23">
        <f t="shared" si="0"/>
        <v>50.28</v>
      </c>
      <c r="G54" s="23">
        <f t="shared" si="0"/>
        <v>52.48</v>
      </c>
      <c r="H54" s="23">
        <f t="shared" si="0"/>
        <v>53</v>
      </c>
      <c r="I54" s="23">
        <f t="shared" si="0"/>
        <v>53.04</v>
      </c>
      <c r="J54" s="23">
        <f t="shared" si="0"/>
        <v>52.68</v>
      </c>
    </row>
    <row r="55" spans="1:10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0" s="23" customFormat="1" x14ac:dyDescent="0.25">
      <c r="A56" s="88">
        <v>10</v>
      </c>
      <c r="B56" s="23">
        <f>COUNTIF(B3:B52,10)</f>
        <v>0</v>
      </c>
      <c r="C56" s="23">
        <f>COUNTIF(C3:C52,10)</f>
        <v>4</v>
      </c>
      <c r="D56" s="23">
        <f t="shared" ref="D56:J56" si="1">COUNTIF(D3:D52,10)</f>
        <v>2</v>
      </c>
      <c r="E56" s="23">
        <f t="shared" si="1"/>
        <v>0</v>
      </c>
      <c r="F56" s="23">
        <f t="shared" si="1"/>
        <v>2</v>
      </c>
      <c r="G56" s="23">
        <f t="shared" si="1"/>
        <v>0</v>
      </c>
      <c r="H56" s="23">
        <f t="shared" si="1"/>
        <v>0</v>
      </c>
      <c r="I56" s="23">
        <f t="shared" si="1"/>
        <v>0</v>
      </c>
      <c r="J56" s="23">
        <f t="shared" si="1"/>
        <v>0</v>
      </c>
    </row>
    <row r="57" spans="1:10" s="23" customFormat="1" x14ac:dyDescent="0.25">
      <c r="A57" s="88">
        <v>11</v>
      </c>
      <c r="B57" s="23">
        <f>COUNTIF(B3:B52,11)</f>
        <v>0</v>
      </c>
      <c r="C57" s="23">
        <f>COUNTIF(C3:C52,11)</f>
        <v>7</v>
      </c>
      <c r="D57" s="23">
        <f t="shared" ref="D57:J57" si="2">COUNTIF(D3:D52,11)</f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0" s="23" customFormat="1" x14ac:dyDescent="0.25">
      <c r="A58" s="88">
        <v>12</v>
      </c>
      <c r="B58" s="23">
        <f>COUNTIF(B3:B52,12)</f>
        <v>0</v>
      </c>
      <c r="C58" s="23">
        <f>COUNTIF(C3:C52,12)</f>
        <v>6</v>
      </c>
      <c r="D58" s="23">
        <f t="shared" ref="D58:J58" si="3">COUNTIF(D3:D52,12)</f>
        <v>0</v>
      </c>
      <c r="E58" s="23">
        <f t="shared" si="3"/>
        <v>0</v>
      </c>
      <c r="F58" s="23">
        <f t="shared" si="3"/>
        <v>0</v>
      </c>
      <c r="G58" s="23">
        <f t="shared" si="3"/>
        <v>0</v>
      </c>
      <c r="H58" s="23">
        <f t="shared" si="3"/>
        <v>0</v>
      </c>
      <c r="I58" s="23">
        <f t="shared" si="3"/>
        <v>0</v>
      </c>
      <c r="J58" s="23">
        <f t="shared" si="3"/>
        <v>0</v>
      </c>
    </row>
    <row r="59" spans="1:10" s="23" customFormat="1" x14ac:dyDescent="0.25">
      <c r="A59" s="88">
        <v>13</v>
      </c>
      <c r="B59" s="23">
        <f>COUNTIF(B3:B52,13)</f>
        <v>0</v>
      </c>
      <c r="C59" s="23">
        <f>COUNTIF(C3:C52,13)</f>
        <v>4</v>
      </c>
      <c r="D59" s="23">
        <f t="shared" ref="D59:J59" si="4">COUNTIF(D3:D52,13)</f>
        <v>0</v>
      </c>
      <c r="E59" s="23">
        <f t="shared" si="4"/>
        <v>0</v>
      </c>
      <c r="F59" s="23">
        <f t="shared" si="4"/>
        <v>0</v>
      </c>
      <c r="G59" s="23">
        <f t="shared" si="4"/>
        <v>0</v>
      </c>
      <c r="H59" s="23">
        <f t="shared" si="4"/>
        <v>0</v>
      </c>
      <c r="I59" s="23">
        <f t="shared" si="4"/>
        <v>0</v>
      </c>
      <c r="J59" s="23">
        <f t="shared" si="4"/>
        <v>0</v>
      </c>
    </row>
    <row r="60" spans="1:10" s="23" customFormat="1" x14ac:dyDescent="0.25">
      <c r="A60" s="88">
        <v>14</v>
      </c>
      <c r="B60" s="23">
        <f>COUNTIF(B3:B52,14)</f>
        <v>0</v>
      </c>
      <c r="C60" s="23">
        <f>COUNTIF(C3:C52,14)</f>
        <v>3</v>
      </c>
      <c r="D60" s="23">
        <f t="shared" ref="D60:J60" si="5">COUNTIF(D3:D52,14)</f>
        <v>0</v>
      </c>
      <c r="E60" s="23">
        <f t="shared" si="5"/>
        <v>0</v>
      </c>
      <c r="F60" s="23">
        <f t="shared" si="5"/>
        <v>0</v>
      </c>
      <c r="G60" s="23">
        <f t="shared" si="5"/>
        <v>0</v>
      </c>
      <c r="H60" s="23">
        <f t="shared" si="5"/>
        <v>0</v>
      </c>
      <c r="I60" s="23">
        <f t="shared" si="5"/>
        <v>0</v>
      </c>
      <c r="J60" s="23">
        <f t="shared" si="5"/>
        <v>0</v>
      </c>
    </row>
    <row r="61" spans="1:10" s="23" customFormat="1" x14ac:dyDescent="0.25">
      <c r="A61" s="88">
        <v>15</v>
      </c>
      <c r="B61" s="23">
        <f>COUNTIF(B3:B52,15)</f>
        <v>0</v>
      </c>
      <c r="C61" s="23">
        <f>COUNTIF(C3:C52,15)</f>
        <v>0</v>
      </c>
      <c r="D61" s="23">
        <f t="shared" ref="D61:J61" si="6">COUNTIF(D3:D52,15)</f>
        <v>0</v>
      </c>
      <c r="E61" s="23">
        <f t="shared" si="6"/>
        <v>0</v>
      </c>
      <c r="F61" s="23">
        <f t="shared" si="6"/>
        <v>0</v>
      </c>
      <c r="G61" s="23">
        <f t="shared" si="6"/>
        <v>0</v>
      </c>
      <c r="H61" s="23">
        <f t="shared" si="6"/>
        <v>0</v>
      </c>
      <c r="I61" s="23">
        <f t="shared" si="6"/>
        <v>0</v>
      </c>
      <c r="J61" s="23">
        <f t="shared" si="6"/>
        <v>0</v>
      </c>
    </row>
    <row r="62" spans="1:10" s="23" customFormat="1" x14ac:dyDescent="0.25">
      <c r="A62" s="88">
        <v>51</v>
      </c>
      <c r="B62" s="86">
        <f>COUNTIF(B3:B52,51)</f>
        <v>25</v>
      </c>
      <c r="C62" s="61">
        <f>COUNTIF(C3:C52,51)</f>
        <v>22</v>
      </c>
      <c r="D62" s="61">
        <f t="shared" ref="D62:J62" si="7">COUNTIF(D3:D52,51)</f>
        <v>34</v>
      </c>
      <c r="E62" s="23">
        <f t="shared" si="7"/>
        <v>14</v>
      </c>
      <c r="F62" s="61">
        <f t="shared" si="7"/>
        <v>29</v>
      </c>
      <c r="G62" s="23">
        <f t="shared" si="7"/>
        <v>16</v>
      </c>
      <c r="H62" s="23">
        <f t="shared" si="7"/>
        <v>10</v>
      </c>
      <c r="I62" s="23">
        <f t="shared" si="7"/>
        <v>6</v>
      </c>
      <c r="J62" s="23">
        <f t="shared" si="7"/>
        <v>9</v>
      </c>
    </row>
    <row r="63" spans="1:10" s="23" customFormat="1" x14ac:dyDescent="0.25">
      <c r="A63" s="88">
        <v>52</v>
      </c>
      <c r="B63" s="23">
        <f>COUNTIF(B3:B52,52)</f>
        <v>0</v>
      </c>
      <c r="C63" s="23">
        <f t="shared" ref="C63:J63" si="8">COUNTIF(C3:C52,52)</f>
        <v>0</v>
      </c>
      <c r="D63" s="23">
        <f t="shared" si="8"/>
        <v>1</v>
      </c>
      <c r="E63" s="23">
        <f t="shared" si="8"/>
        <v>0</v>
      </c>
      <c r="F63" s="23">
        <f t="shared" si="8"/>
        <v>0</v>
      </c>
      <c r="G63" s="23">
        <f t="shared" si="8"/>
        <v>2</v>
      </c>
      <c r="H63" s="23">
        <f t="shared" si="8"/>
        <v>2</v>
      </c>
      <c r="I63" s="23">
        <f t="shared" si="8"/>
        <v>0</v>
      </c>
      <c r="J63" s="23">
        <f t="shared" si="8"/>
        <v>0</v>
      </c>
    </row>
    <row r="64" spans="1:10" s="23" customFormat="1" x14ac:dyDescent="0.25">
      <c r="A64" s="88">
        <v>53</v>
      </c>
      <c r="B64" s="23">
        <f>COUNTIF(B3:B52,53)</f>
        <v>19</v>
      </c>
      <c r="C64" s="61">
        <f>COUNTIF(C3:C52,53)</f>
        <v>4</v>
      </c>
      <c r="D64" s="23">
        <f t="shared" ref="D64:J64" si="9">COUNTIF(D3:D52,53)</f>
        <v>11</v>
      </c>
      <c r="E64" s="61">
        <f t="shared" si="9"/>
        <v>35</v>
      </c>
      <c r="F64" s="23">
        <f t="shared" si="9"/>
        <v>15</v>
      </c>
      <c r="G64" s="61">
        <f t="shared" si="9"/>
        <v>28</v>
      </c>
      <c r="H64" s="61">
        <f t="shared" si="9"/>
        <v>27</v>
      </c>
      <c r="I64" s="61">
        <f t="shared" si="9"/>
        <v>37</v>
      </c>
      <c r="J64" s="61">
        <f t="shared" si="9"/>
        <v>40</v>
      </c>
    </row>
    <row r="65" spans="1:11" s="23" customFormat="1" x14ac:dyDescent="0.25">
      <c r="A65" s="88">
        <v>55</v>
      </c>
      <c r="B65" s="23">
        <f>COUNTIF(B3:B52,55)</f>
        <v>6</v>
      </c>
      <c r="C65" s="23">
        <f>COUNTIF(C3:C52,55)</f>
        <v>0</v>
      </c>
      <c r="D65" s="23">
        <f t="shared" ref="D65:J65" si="10">COUNTIF(D3:D52,55)</f>
        <v>1</v>
      </c>
      <c r="E65" s="23">
        <f t="shared" si="10"/>
        <v>1</v>
      </c>
      <c r="F65" s="23">
        <f t="shared" si="10"/>
        <v>4</v>
      </c>
      <c r="G65" s="23">
        <f t="shared" si="10"/>
        <v>4</v>
      </c>
      <c r="H65" s="23">
        <f t="shared" si="10"/>
        <v>11</v>
      </c>
      <c r="I65" s="23">
        <f t="shared" si="10"/>
        <v>7</v>
      </c>
      <c r="J65" s="23">
        <f t="shared" si="10"/>
        <v>1</v>
      </c>
    </row>
    <row r="66" spans="1:11" s="23" customFormat="1" x14ac:dyDescent="0.25">
      <c r="A66" s="88">
        <v>57</v>
      </c>
      <c r="B66" s="23">
        <f>COUNTIF(B3:B52,57)</f>
        <v>0</v>
      </c>
      <c r="C66" s="23">
        <f>COUNTIF(C3:C52,57)</f>
        <v>0</v>
      </c>
      <c r="D66" s="23">
        <f t="shared" ref="D66:J66" si="11">COUNTIF(D3:D52,57)</f>
        <v>0</v>
      </c>
      <c r="E66" s="23">
        <f t="shared" si="11"/>
        <v>0</v>
      </c>
      <c r="F66" s="23">
        <f t="shared" si="11"/>
        <v>0</v>
      </c>
      <c r="G66" s="23">
        <f t="shared" si="11"/>
        <v>0</v>
      </c>
      <c r="H66" s="23">
        <f t="shared" si="11"/>
        <v>0</v>
      </c>
      <c r="I66" s="23">
        <f t="shared" si="11"/>
        <v>0</v>
      </c>
      <c r="J66" s="23">
        <f t="shared" si="11"/>
        <v>0</v>
      </c>
    </row>
    <row r="67" spans="1:11" s="23" customFormat="1" x14ac:dyDescent="0.25">
      <c r="A67" s="88">
        <v>59</v>
      </c>
      <c r="B67" s="23">
        <f>COUNTIF(B3:B52,59)</f>
        <v>0</v>
      </c>
      <c r="C67" s="23">
        <f>COUNTIF(C3:C52,59)</f>
        <v>0</v>
      </c>
      <c r="D67" s="23">
        <f t="shared" ref="D67:J67" si="12">COUNTIF(D3:D52,59)</f>
        <v>1</v>
      </c>
      <c r="E67" s="23">
        <f t="shared" si="12"/>
        <v>0</v>
      </c>
      <c r="F67" s="23">
        <f t="shared" si="12"/>
        <v>0</v>
      </c>
      <c r="G67" s="23">
        <f t="shared" si="12"/>
        <v>0</v>
      </c>
      <c r="H67" s="23">
        <f t="shared" si="12"/>
        <v>0</v>
      </c>
      <c r="I67" s="23">
        <f t="shared" si="12"/>
        <v>0</v>
      </c>
      <c r="J67" s="23">
        <f t="shared" si="12"/>
        <v>0</v>
      </c>
    </row>
    <row r="68" spans="1:11" x14ac:dyDescent="0.25">
      <c r="A68" s="60"/>
      <c r="B68" s="89">
        <f>SUM(B56:B67)</f>
        <v>50</v>
      </c>
      <c r="C68" s="89">
        <f t="shared" ref="C68:J68" si="13">SUM(C56:C67)</f>
        <v>50</v>
      </c>
      <c r="D68" s="89">
        <f t="shared" si="13"/>
        <v>50</v>
      </c>
      <c r="E68" s="89">
        <f t="shared" si="13"/>
        <v>50</v>
      </c>
      <c r="F68" s="89">
        <f t="shared" si="13"/>
        <v>50</v>
      </c>
      <c r="G68" s="89">
        <f t="shared" si="13"/>
        <v>50</v>
      </c>
      <c r="H68" s="89">
        <f t="shared" si="13"/>
        <v>50</v>
      </c>
      <c r="I68" s="89">
        <f t="shared" si="13"/>
        <v>50</v>
      </c>
      <c r="J68" s="89">
        <f t="shared" si="13"/>
        <v>50</v>
      </c>
    </row>
    <row r="69" spans="1:11" x14ac:dyDescent="0.25">
      <c r="A69" s="60"/>
      <c r="B69" s="61"/>
      <c r="C69" s="61"/>
      <c r="D69" s="61"/>
      <c r="E69" s="61"/>
      <c r="F69" s="61"/>
      <c r="G69" s="61"/>
      <c r="H69" s="61"/>
      <c r="I69" s="61"/>
      <c r="J69" s="61"/>
    </row>
    <row r="70" spans="1:11" x14ac:dyDescent="0.25">
      <c r="A70" s="60"/>
      <c r="B70" s="61"/>
      <c r="C70" s="61"/>
      <c r="D70" s="61"/>
      <c r="E70" s="61"/>
      <c r="F70" s="61"/>
      <c r="G70" s="61"/>
      <c r="H70" s="61"/>
      <c r="I70" s="61"/>
      <c r="J70" s="61"/>
    </row>
    <row r="71" spans="1:11" x14ac:dyDescent="0.25">
      <c r="A71" s="52"/>
    </row>
    <row r="72" spans="1:11" s="25" customFormat="1" x14ac:dyDescent="0.25">
      <c r="A72" s="87" t="s">
        <v>94</v>
      </c>
      <c r="B72" s="23">
        <f>SUM(B56:B61)</f>
        <v>0</v>
      </c>
      <c r="C72" s="23">
        <f t="shared" ref="C72:J72" si="14">SUM(C56:C61)</f>
        <v>24</v>
      </c>
      <c r="D72" s="23">
        <f t="shared" si="14"/>
        <v>2</v>
      </c>
      <c r="E72" s="23">
        <f t="shared" si="14"/>
        <v>0</v>
      </c>
      <c r="F72" s="23">
        <f t="shared" si="14"/>
        <v>2</v>
      </c>
      <c r="G72" s="23">
        <f t="shared" si="14"/>
        <v>0</v>
      </c>
      <c r="H72" s="23">
        <f t="shared" si="14"/>
        <v>0</v>
      </c>
      <c r="I72" s="23">
        <f t="shared" si="14"/>
        <v>0</v>
      </c>
      <c r="J72" s="23">
        <f t="shared" si="14"/>
        <v>0</v>
      </c>
      <c r="K72" s="23" t="s">
        <v>98</v>
      </c>
    </row>
    <row r="73" spans="1:11" x14ac:dyDescent="0.25">
      <c r="A73" s="93" t="s">
        <v>95</v>
      </c>
      <c r="B73" s="94">
        <f>SUM(B62:B67)</f>
        <v>50</v>
      </c>
      <c r="C73" s="94">
        <f t="shared" ref="C73:J73" si="15">SUM(C62:C67)</f>
        <v>26</v>
      </c>
      <c r="D73" s="94">
        <f t="shared" si="15"/>
        <v>48</v>
      </c>
      <c r="E73" s="94">
        <f t="shared" si="15"/>
        <v>50</v>
      </c>
      <c r="F73" s="94">
        <f>SUM(F62:F67)</f>
        <v>48</v>
      </c>
      <c r="G73" s="94">
        <f t="shared" si="15"/>
        <v>50</v>
      </c>
      <c r="H73" s="94">
        <f t="shared" si="15"/>
        <v>50</v>
      </c>
      <c r="I73" s="94">
        <f t="shared" si="15"/>
        <v>50</v>
      </c>
      <c r="J73" s="94">
        <f t="shared" si="15"/>
        <v>50</v>
      </c>
      <c r="K73" s="93" t="s">
        <v>101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R19" sqref="R19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2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2" ht="15.75" thickBot="1" x14ac:dyDescent="0.3">
      <c r="A2" s="34"/>
      <c r="B2" s="57" t="s">
        <v>43</v>
      </c>
      <c r="C2" s="35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57" t="s">
        <v>48</v>
      </c>
      <c r="I2" s="58" t="s">
        <v>49</v>
      </c>
      <c r="J2" s="59" t="s">
        <v>51</v>
      </c>
    </row>
    <row r="3" spans="1:12" x14ac:dyDescent="0.25">
      <c r="A3" s="12">
        <v>1</v>
      </c>
      <c r="B3" s="40">
        <v>57</v>
      </c>
      <c r="C3" s="41">
        <v>53</v>
      </c>
      <c r="D3" s="65">
        <v>57</v>
      </c>
      <c r="E3" s="67">
        <v>57</v>
      </c>
      <c r="F3" s="65">
        <v>57</v>
      </c>
      <c r="G3" s="65">
        <v>57</v>
      </c>
      <c r="H3" s="44">
        <v>57</v>
      </c>
      <c r="I3" s="40">
        <v>57</v>
      </c>
      <c r="J3" s="43">
        <v>55</v>
      </c>
      <c r="L3" s="47">
        <f>MIN(B3:J52)</f>
        <v>53</v>
      </c>
    </row>
    <row r="4" spans="1:12" x14ac:dyDescent="0.25">
      <c r="A4" s="15">
        <v>2</v>
      </c>
      <c r="B4" s="44">
        <v>55</v>
      </c>
      <c r="C4" s="45">
        <v>53</v>
      </c>
      <c r="D4" s="44">
        <v>57</v>
      </c>
      <c r="E4" s="45">
        <v>57</v>
      </c>
      <c r="F4" s="44">
        <v>57</v>
      </c>
      <c r="G4" s="66">
        <v>57</v>
      </c>
      <c r="H4" s="44">
        <v>57</v>
      </c>
      <c r="I4" s="46">
        <v>57</v>
      </c>
      <c r="J4" s="43">
        <v>55</v>
      </c>
      <c r="L4" s="47">
        <f>MAX(B3:J52)</f>
        <v>58</v>
      </c>
    </row>
    <row r="5" spans="1:12" x14ac:dyDescent="0.25">
      <c r="A5" s="15">
        <v>3</v>
      </c>
      <c r="B5" s="44">
        <v>57</v>
      </c>
      <c r="C5" s="45">
        <v>53</v>
      </c>
      <c r="D5" s="44">
        <v>57</v>
      </c>
      <c r="E5" s="45">
        <v>57</v>
      </c>
      <c r="F5" s="44">
        <v>57</v>
      </c>
      <c r="G5" s="63">
        <v>55</v>
      </c>
      <c r="H5" s="44">
        <v>57</v>
      </c>
      <c r="I5" s="46">
        <v>53</v>
      </c>
      <c r="J5" s="43">
        <v>55</v>
      </c>
    </row>
    <row r="6" spans="1:12" x14ac:dyDescent="0.25">
      <c r="A6" s="15">
        <v>4</v>
      </c>
      <c r="B6" s="44">
        <v>55</v>
      </c>
      <c r="C6" s="45">
        <v>55</v>
      </c>
      <c r="D6" s="44">
        <v>57</v>
      </c>
      <c r="E6" s="45">
        <v>57</v>
      </c>
      <c r="F6" s="44">
        <v>55</v>
      </c>
      <c r="G6" s="63">
        <v>55</v>
      </c>
      <c r="H6" s="44">
        <v>57</v>
      </c>
      <c r="I6" s="46">
        <v>55</v>
      </c>
      <c r="J6" s="43">
        <v>55</v>
      </c>
    </row>
    <row r="7" spans="1:12" x14ac:dyDescent="0.25">
      <c r="A7" s="15">
        <v>5</v>
      </c>
      <c r="B7" s="44">
        <v>55</v>
      </c>
      <c r="C7" s="45">
        <v>55</v>
      </c>
      <c r="D7" s="44">
        <v>57</v>
      </c>
      <c r="E7" s="44">
        <v>57</v>
      </c>
      <c r="F7" s="44">
        <v>55</v>
      </c>
      <c r="G7" s="63">
        <v>55</v>
      </c>
      <c r="H7" s="44">
        <v>57</v>
      </c>
      <c r="I7" s="46">
        <v>55</v>
      </c>
      <c r="J7" s="43">
        <v>55</v>
      </c>
    </row>
    <row r="8" spans="1:12" x14ac:dyDescent="0.25">
      <c r="A8" s="15">
        <v>6</v>
      </c>
      <c r="B8" s="44">
        <v>55</v>
      </c>
      <c r="C8" s="45">
        <v>55</v>
      </c>
      <c r="D8" s="44">
        <v>57</v>
      </c>
      <c r="E8" s="66">
        <v>57</v>
      </c>
      <c r="F8" s="44">
        <v>57</v>
      </c>
      <c r="G8" s="63">
        <v>55</v>
      </c>
      <c r="H8" s="44">
        <v>57</v>
      </c>
      <c r="I8" s="46">
        <v>55</v>
      </c>
      <c r="J8" s="43">
        <v>57</v>
      </c>
    </row>
    <row r="9" spans="1:12" x14ac:dyDescent="0.25">
      <c r="A9" s="15">
        <v>7</v>
      </c>
      <c r="B9" s="44">
        <v>55</v>
      </c>
      <c r="C9" s="45">
        <v>55</v>
      </c>
      <c r="D9" s="44">
        <v>57</v>
      </c>
      <c r="E9" s="63">
        <v>55</v>
      </c>
      <c r="F9" s="44">
        <v>57</v>
      </c>
      <c r="G9" s="63">
        <v>55</v>
      </c>
      <c r="H9" s="44">
        <v>57</v>
      </c>
      <c r="I9" s="46">
        <v>55</v>
      </c>
      <c r="J9" s="43">
        <v>57</v>
      </c>
    </row>
    <row r="10" spans="1:12" x14ac:dyDescent="0.25">
      <c r="A10" s="15">
        <v>8</v>
      </c>
      <c r="B10" s="44">
        <v>55</v>
      </c>
      <c r="C10" s="45">
        <v>55</v>
      </c>
      <c r="D10" s="44">
        <v>57</v>
      </c>
      <c r="E10" s="63">
        <v>55</v>
      </c>
      <c r="F10" s="44">
        <v>57</v>
      </c>
      <c r="G10" s="44">
        <v>57</v>
      </c>
      <c r="H10" s="44">
        <v>57</v>
      </c>
      <c r="I10" s="46">
        <v>55</v>
      </c>
      <c r="J10" s="43">
        <v>57</v>
      </c>
    </row>
    <row r="11" spans="1:12" x14ac:dyDescent="0.25">
      <c r="A11" s="15">
        <v>9</v>
      </c>
      <c r="B11" s="44">
        <v>55</v>
      </c>
      <c r="C11" s="45">
        <v>53</v>
      </c>
      <c r="D11" s="44">
        <v>57</v>
      </c>
      <c r="E11" s="63">
        <v>57</v>
      </c>
      <c r="F11" s="44">
        <v>53</v>
      </c>
      <c r="G11" s="44">
        <v>57</v>
      </c>
      <c r="H11" s="44">
        <v>57</v>
      </c>
      <c r="I11" s="46">
        <v>55</v>
      </c>
      <c r="J11" s="43">
        <v>57</v>
      </c>
    </row>
    <row r="12" spans="1:12" ht="15.75" thickBot="1" x14ac:dyDescent="0.3">
      <c r="A12" s="17">
        <v>10</v>
      </c>
      <c r="B12" s="48">
        <v>55</v>
      </c>
      <c r="C12" s="49">
        <v>53</v>
      </c>
      <c r="D12" s="48">
        <v>57</v>
      </c>
      <c r="E12" s="64">
        <v>57</v>
      </c>
      <c r="F12" s="48">
        <v>53</v>
      </c>
      <c r="G12" s="44">
        <v>57</v>
      </c>
      <c r="H12" s="48">
        <v>57</v>
      </c>
      <c r="I12" s="50">
        <v>55</v>
      </c>
      <c r="J12" s="43">
        <v>55</v>
      </c>
    </row>
    <row r="13" spans="1:12" x14ac:dyDescent="0.25">
      <c r="A13" s="12">
        <v>11</v>
      </c>
      <c r="B13" s="40">
        <v>55</v>
      </c>
      <c r="C13" s="40">
        <v>53</v>
      </c>
      <c r="D13" s="65">
        <v>57</v>
      </c>
      <c r="E13" s="40">
        <v>55</v>
      </c>
      <c r="F13" s="65">
        <v>53</v>
      </c>
      <c r="G13" s="40">
        <v>57</v>
      </c>
      <c r="H13" s="67">
        <v>57</v>
      </c>
      <c r="I13" s="72">
        <v>57</v>
      </c>
      <c r="J13" s="47">
        <v>55</v>
      </c>
    </row>
    <row r="14" spans="1:12" x14ac:dyDescent="0.25">
      <c r="A14" s="15">
        <v>12</v>
      </c>
      <c r="B14" s="44">
        <v>55</v>
      </c>
      <c r="C14" s="44">
        <v>53</v>
      </c>
      <c r="D14" s="65">
        <v>57</v>
      </c>
      <c r="E14" s="44">
        <v>55</v>
      </c>
      <c r="F14" s="44">
        <v>53</v>
      </c>
      <c r="G14" s="44">
        <v>55</v>
      </c>
      <c r="H14" s="45">
        <v>57</v>
      </c>
      <c r="I14" s="73">
        <v>57</v>
      </c>
      <c r="J14" s="47">
        <v>55</v>
      </c>
    </row>
    <row r="15" spans="1:12" x14ac:dyDescent="0.25">
      <c r="A15" s="15">
        <v>13</v>
      </c>
      <c r="B15" s="44">
        <v>55</v>
      </c>
      <c r="C15" s="44">
        <v>53</v>
      </c>
      <c r="D15" s="65">
        <v>57</v>
      </c>
      <c r="E15" s="44">
        <v>55</v>
      </c>
      <c r="F15" s="44">
        <v>53</v>
      </c>
      <c r="G15" s="44">
        <v>57</v>
      </c>
      <c r="H15" s="45">
        <v>57</v>
      </c>
      <c r="I15" s="73">
        <v>57</v>
      </c>
      <c r="J15" s="47">
        <v>57</v>
      </c>
    </row>
    <row r="16" spans="1:12" x14ac:dyDescent="0.25">
      <c r="A16" s="15">
        <v>14</v>
      </c>
      <c r="B16" s="44">
        <v>57</v>
      </c>
      <c r="C16" s="44">
        <v>53</v>
      </c>
      <c r="D16" s="65">
        <v>57</v>
      </c>
      <c r="E16" s="44">
        <v>57</v>
      </c>
      <c r="F16" s="44">
        <v>57</v>
      </c>
      <c r="G16" s="44">
        <v>57</v>
      </c>
      <c r="H16" s="45">
        <v>57</v>
      </c>
      <c r="I16" s="73">
        <v>57</v>
      </c>
      <c r="J16" s="47">
        <v>57</v>
      </c>
    </row>
    <row r="17" spans="1:10" x14ac:dyDescent="0.25">
      <c r="A17" s="15">
        <v>15</v>
      </c>
      <c r="B17" s="44">
        <v>55</v>
      </c>
      <c r="C17" s="44">
        <v>55</v>
      </c>
      <c r="D17" s="65">
        <v>57</v>
      </c>
      <c r="E17" s="44">
        <v>57</v>
      </c>
      <c r="F17" s="44">
        <v>57</v>
      </c>
      <c r="G17" s="44">
        <v>55</v>
      </c>
      <c r="H17" s="45">
        <v>57</v>
      </c>
      <c r="I17" s="73">
        <v>57</v>
      </c>
      <c r="J17" s="47">
        <v>55</v>
      </c>
    </row>
    <row r="18" spans="1:10" x14ac:dyDescent="0.25">
      <c r="A18" s="15">
        <v>16</v>
      </c>
      <c r="B18" s="44">
        <v>55</v>
      </c>
      <c r="C18" s="44">
        <v>55</v>
      </c>
      <c r="D18" s="65">
        <v>57</v>
      </c>
      <c r="E18" s="44">
        <v>55</v>
      </c>
      <c r="F18" s="44">
        <v>57</v>
      </c>
      <c r="G18" s="44">
        <v>55</v>
      </c>
      <c r="H18" s="45">
        <v>57</v>
      </c>
      <c r="I18" s="73">
        <v>57</v>
      </c>
      <c r="J18" s="47">
        <v>55</v>
      </c>
    </row>
    <row r="19" spans="1:10" x14ac:dyDescent="0.25">
      <c r="A19" s="15">
        <v>17</v>
      </c>
      <c r="B19" s="44">
        <v>55</v>
      </c>
      <c r="C19" s="44">
        <v>53</v>
      </c>
      <c r="D19" s="65">
        <v>57</v>
      </c>
      <c r="E19" s="44">
        <v>55</v>
      </c>
      <c r="F19" s="44">
        <v>57</v>
      </c>
      <c r="G19" s="44">
        <v>57</v>
      </c>
      <c r="H19" s="45">
        <v>57</v>
      </c>
      <c r="I19" s="73">
        <v>57</v>
      </c>
      <c r="J19" s="47">
        <v>55</v>
      </c>
    </row>
    <row r="20" spans="1:10" x14ac:dyDescent="0.25">
      <c r="A20" s="15">
        <v>18</v>
      </c>
      <c r="B20" s="44">
        <v>55</v>
      </c>
      <c r="C20" s="44">
        <v>55</v>
      </c>
      <c r="D20" s="65">
        <v>57</v>
      </c>
      <c r="E20" s="44">
        <v>57</v>
      </c>
      <c r="F20" s="44">
        <v>57</v>
      </c>
      <c r="G20" s="44">
        <v>57</v>
      </c>
      <c r="H20" s="45">
        <v>57</v>
      </c>
      <c r="I20" s="73">
        <v>57</v>
      </c>
      <c r="J20" s="47">
        <v>55</v>
      </c>
    </row>
    <row r="21" spans="1:10" x14ac:dyDescent="0.25">
      <c r="A21" s="15">
        <v>19</v>
      </c>
      <c r="B21" s="44">
        <v>55</v>
      </c>
      <c r="C21" s="44">
        <v>53</v>
      </c>
      <c r="D21" s="65">
        <v>57</v>
      </c>
      <c r="E21" s="44">
        <v>57</v>
      </c>
      <c r="F21" s="44">
        <v>55</v>
      </c>
      <c r="G21" s="44">
        <v>55</v>
      </c>
      <c r="H21" s="45">
        <v>57</v>
      </c>
      <c r="I21" s="73">
        <v>57</v>
      </c>
      <c r="J21" s="47">
        <v>57</v>
      </c>
    </row>
    <row r="22" spans="1:10" ht="15.75" thickBot="1" x14ac:dyDescent="0.3">
      <c r="A22" s="17">
        <v>20</v>
      </c>
      <c r="B22" s="48">
        <v>55</v>
      </c>
      <c r="C22" s="48">
        <v>53</v>
      </c>
      <c r="D22" s="65">
        <v>57</v>
      </c>
      <c r="E22" s="48">
        <v>57</v>
      </c>
      <c r="F22" s="48">
        <v>55</v>
      </c>
      <c r="G22" s="48">
        <v>55</v>
      </c>
      <c r="H22" s="49">
        <v>57</v>
      </c>
      <c r="I22" s="74">
        <v>57</v>
      </c>
      <c r="J22" s="47">
        <v>57</v>
      </c>
    </row>
    <row r="23" spans="1:10" x14ac:dyDescent="0.25">
      <c r="A23" s="12">
        <v>21</v>
      </c>
      <c r="B23" s="40">
        <v>55</v>
      </c>
      <c r="C23" s="40">
        <v>55</v>
      </c>
      <c r="D23" s="40">
        <v>57</v>
      </c>
      <c r="E23" s="40">
        <v>57</v>
      </c>
      <c r="F23" s="69">
        <v>55</v>
      </c>
      <c r="G23" s="40">
        <v>57</v>
      </c>
      <c r="H23" s="65">
        <v>57</v>
      </c>
      <c r="I23" s="71">
        <v>55</v>
      </c>
      <c r="J23" s="43">
        <v>55</v>
      </c>
    </row>
    <row r="24" spans="1:10" x14ac:dyDescent="0.25">
      <c r="A24" s="15">
        <v>22</v>
      </c>
      <c r="B24" s="44">
        <v>55</v>
      </c>
      <c r="C24" s="44">
        <v>54</v>
      </c>
      <c r="D24" s="44">
        <v>57</v>
      </c>
      <c r="E24" s="44">
        <v>57</v>
      </c>
      <c r="F24" s="44">
        <v>55</v>
      </c>
      <c r="G24" s="44">
        <v>55</v>
      </c>
      <c r="H24" s="44">
        <v>55</v>
      </c>
      <c r="I24" s="46">
        <v>55</v>
      </c>
      <c r="J24" s="43">
        <v>55</v>
      </c>
    </row>
    <row r="25" spans="1:10" x14ac:dyDescent="0.25">
      <c r="A25" s="15">
        <v>23</v>
      </c>
      <c r="B25" s="44">
        <v>55</v>
      </c>
      <c r="C25" s="44">
        <v>54</v>
      </c>
      <c r="D25" s="44">
        <v>55</v>
      </c>
      <c r="E25" s="44">
        <v>57</v>
      </c>
      <c r="F25" s="65">
        <v>55</v>
      </c>
      <c r="G25" s="44">
        <v>57</v>
      </c>
      <c r="H25" s="44">
        <v>55</v>
      </c>
      <c r="I25" s="46">
        <v>55</v>
      </c>
      <c r="J25" s="43">
        <v>55</v>
      </c>
    </row>
    <row r="26" spans="1:10" x14ac:dyDescent="0.25">
      <c r="A26" s="15">
        <v>24</v>
      </c>
      <c r="B26" s="44">
        <v>55</v>
      </c>
      <c r="C26" s="44">
        <v>54</v>
      </c>
      <c r="D26" s="44">
        <v>55</v>
      </c>
      <c r="E26" s="44">
        <v>57</v>
      </c>
      <c r="F26" s="44">
        <v>57</v>
      </c>
      <c r="G26" s="44">
        <v>57</v>
      </c>
      <c r="H26" s="44">
        <v>57</v>
      </c>
      <c r="I26" s="46">
        <v>55</v>
      </c>
      <c r="J26" s="43">
        <v>57</v>
      </c>
    </row>
    <row r="27" spans="1:10" x14ac:dyDescent="0.25">
      <c r="A27" s="15">
        <v>25</v>
      </c>
      <c r="B27" s="44">
        <v>55</v>
      </c>
      <c r="C27" s="44">
        <v>54</v>
      </c>
      <c r="D27" s="44">
        <v>57</v>
      </c>
      <c r="E27" s="44">
        <v>55</v>
      </c>
      <c r="F27" s="44">
        <v>57</v>
      </c>
      <c r="G27" s="44">
        <v>55</v>
      </c>
      <c r="H27" s="44">
        <v>57</v>
      </c>
      <c r="I27" s="46">
        <v>57</v>
      </c>
      <c r="J27" s="43">
        <v>57</v>
      </c>
    </row>
    <row r="28" spans="1:10" x14ac:dyDescent="0.25">
      <c r="A28" s="15">
        <v>26</v>
      </c>
      <c r="B28" s="44">
        <v>55</v>
      </c>
      <c r="C28" s="44">
        <v>53</v>
      </c>
      <c r="D28" s="44">
        <v>57</v>
      </c>
      <c r="E28" s="44">
        <v>55</v>
      </c>
      <c r="F28" s="44">
        <v>57</v>
      </c>
      <c r="G28" s="44">
        <v>55</v>
      </c>
      <c r="H28" s="44">
        <v>55</v>
      </c>
      <c r="I28" s="46">
        <v>57</v>
      </c>
      <c r="J28" s="43">
        <v>57</v>
      </c>
    </row>
    <row r="29" spans="1:10" x14ac:dyDescent="0.25">
      <c r="A29" s="15">
        <v>27</v>
      </c>
      <c r="B29" s="44">
        <v>55</v>
      </c>
      <c r="C29" s="44">
        <v>53</v>
      </c>
      <c r="D29" s="44">
        <v>57</v>
      </c>
      <c r="E29" s="44">
        <v>57</v>
      </c>
      <c r="F29" s="44">
        <v>57</v>
      </c>
      <c r="G29" s="44">
        <v>55</v>
      </c>
      <c r="H29" s="44">
        <v>57</v>
      </c>
      <c r="I29" s="46">
        <v>57</v>
      </c>
      <c r="J29" s="43">
        <v>57</v>
      </c>
    </row>
    <row r="30" spans="1:10" x14ac:dyDescent="0.25">
      <c r="A30" s="15">
        <v>28</v>
      </c>
      <c r="B30" s="44">
        <v>55</v>
      </c>
      <c r="C30" s="44">
        <v>55</v>
      </c>
      <c r="D30" s="44">
        <v>57</v>
      </c>
      <c r="E30" s="44">
        <v>57</v>
      </c>
      <c r="F30" s="44">
        <v>57</v>
      </c>
      <c r="G30" s="44">
        <v>55</v>
      </c>
      <c r="H30" s="44">
        <v>57</v>
      </c>
      <c r="I30" s="46">
        <v>55</v>
      </c>
      <c r="J30" s="43">
        <v>55</v>
      </c>
    </row>
    <row r="31" spans="1:10" x14ac:dyDescent="0.25">
      <c r="A31" s="15">
        <v>29</v>
      </c>
      <c r="B31" s="44">
        <v>57</v>
      </c>
      <c r="C31" s="44">
        <v>55</v>
      </c>
      <c r="D31" s="44">
        <v>57</v>
      </c>
      <c r="E31" s="44">
        <v>57</v>
      </c>
      <c r="F31" s="44">
        <v>57</v>
      </c>
      <c r="G31" s="44">
        <v>57</v>
      </c>
      <c r="H31" s="44">
        <v>57</v>
      </c>
      <c r="I31" s="46">
        <v>57</v>
      </c>
      <c r="J31" s="43">
        <v>55</v>
      </c>
    </row>
    <row r="32" spans="1:10" ht="15.75" thickBot="1" x14ac:dyDescent="0.3">
      <c r="A32" s="17">
        <v>30</v>
      </c>
      <c r="B32" s="48">
        <v>57</v>
      </c>
      <c r="C32" s="48">
        <v>58</v>
      </c>
      <c r="D32" s="48">
        <v>57</v>
      </c>
      <c r="E32" s="48">
        <v>57</v>
      </c>
      <c r="F32" s="44">
        <v>57</v>
      </c>
      <c r="G32" s="48">
        <v>57</v>
      </c>
      <c r="H32" s="48">
        <v>57</v>
      </c>
      <c r="I32" s="50">
        <v>55</v>
      </c>
      <c r="J32" s="43">
        <v>55</v>
      </c>
    </row>
    <row r="33" spans="1:10" x14ac:dyDescent="0.25">
      <c r="A33" s="12">
        <v>31</v>
      </c>
      <c r="B33" s="40">
        <v>57</v>
      </c>
      <c r="C33" s="40">
        <v>57</v>
      </c>
      <c r="D33" s="65">
        <v>57</v>
      </c>
      <c r="E33" s="40">
        <v>55</v>
      </c>
      <c r="F33" s="40">
        <v>53</v>
      </c>
      <c r="G33" s="40">
        <v>57</v>
      </c>
      <c r="H33" s="65">
        <v>57</v>
      </c>
      <c r="I33" s="42">
        <v>55</v>
      </c>
      <c r="J33" s="43">
        <v>57</v>
      </c>
    </row>
    <row r="34" spans="1:10" x14ac:dyDescent="0.25">
      <c r="A34" s="15">
        <v>32</v>
      </c>
      <c r="B34" s="44">
        <v>57</v>
      </c>
      <c r="C34" s="44">
        <v>57</v>
      </c>
      <c r="D34" s="44">
        <v>57</v>
      </c>
      <c r="E34" s="44">
        <v>55</v>
      </c>
      <c r="F34" s="44">
        <v>53</v>
      </c>
      <c r="G34" s="70">
        <v>55</v>
      </c>
      <c r="H34" s="44">
        <v>57</v>
      </c>
      <c r="I34" s="46">
        <v>55</v>
      </c>
      <c r="J34" s="43">
        <v>57</v>
      </c>
    </row>
    <row r="35" spans="1:10" x14ac:dyDescent="0.25">
      <c r="A35" s="15">
        <v>33</v>
      </c>
      <c r="B35" s="44">
        <v>55</v>
      </c>
      <c r="C35" s="44">
        <v>57</v>
      </c>
      <c r="D35" s="44">
        <v>57</v>
      </c>
      <c r="E35" s="44">
        <v>55</v>
      </c>
      <c r="F35" s="44">
        <v>55</v>
      </c>
      <c r="G35" s="44">
        <v>55</v>
      </c>
      <c r="H35" s="44">
        <v>57</v>
      </c>
      <c r="I35" s="46">
        <v>55</v>
      </c>
      <c r="J35" s="43">
        <v>57</v>
      </c>
    </row>
    <row r="36" spans="1:10" x14ac:dyDescent="0.25">
      <c r="A36" s="15">
        <v>34</v>
      </c>
      <c r="B36" s="44">
        <v>55</v>
      </c>
      <c r="C36" s="44">
        <v>55</v>
      </c>
      <c r="D36" s="44">
        <v>57</v>
      </c>
      <c r="E36" s="44">
        <v>55</v>
      </c>
      <c r="F36" s="44">
        <v>55</v>
      </c>
      <c r="G36" s="44">
        <v>55</v>
      </c>
      <c r="H36" s="44">
        <v>55</v>
      </c>
      <c r="I36" s="46">
        <v>55</v>
      </c>
      <c r="J36" s="43">
        <v>55</v>
      </c>
    </row>
    <row r="37" spans="1:10" x14ac:dyDescent="0.25">
      <c r="A37" s="15">
        <v>35</v>
      </c>
      <c r="B37" s="44">
        <v>57</v>
      </c>
      <c r="C37" s="44">
        <v>57</v>
      </c>
      <c r="D37" s="44">
        <v>57</v>
      </c>
      <c r="E37" s="44">
        <v>55</v>
      </c>
      <c r="F37" s="44">
        <v>55</v>
      </c>
      <c r="G37" s="44">
        <v>55</v>
      </c>
      <c r="H37" s="44">
        <v>55</v>
      </c>
      <c r="I37" s="46">
        <v>55</v>
      </c>
      <c r="J37" s="43">
        <v>55</v>
      </c>
    </row>
    <row r="38" spans="1:10" x14ac:dyDescent="0.25">
      <c r="A38" s="15">
        <v>36</v>
      </c>
      <c r="B38" s="44">
        <v>57</v>
      </c>
      <c r="C38" s="44">
        <v>53</v>
      </c>
      <c r="D38" s="44">
        <v>57</v>
      </c>
      <c r="E38" s="44">
        <v>57</v>
      </c>
      <c r="F38" s="44">
        <v>55</v>
      </c>
      <c r="G38" s="44">
        <v>57</v>
      </c>
      <c r="H38" s="44">
        <v>57</v>
      </c>
      <c r="I38" s="46">
        <v>57</v>
      </c>
      <c r="J38" s="43">
        <v>57</v>
      </c>
    </row>
    <row r="39" spans="1:10" x14ac:dyDescent="0.25">
      <c r="A39" s="15">
        <v>37</v>
      </c>
      <c r="B39" s="44">
        <v>57</v>
      </c>
      <c r="C39" s="44">
        <v>53</v>
      </c>
      <c r="D39" s="44">
        <v>57</v>
      </c>
      <c r="E39" s="44">
        <v>57</v>
      </c>
      <c r="F39" s="44">
        <v>55</v>
      </c>
      <c r="G39" s="44">
        <v>57</v>
      </c>
      <c r="H39" s="44">
        <v>57</v>
      </c>
      <c r="I39" s="46">
        <v>57</v>
      </c>
      <c r="J39" s="43">
        <v>55</v>
      </c>
    </row>
    <row r="40" spans="1:10" x14ac:dyDescent="0.25">
      <c r="A40" s="15">
        <v>38</v>
      </c>
      <c r="B40" s="44">
        <v>57</v>
      </c>
      <c r="C40" s="44">
        <v>53</v>
      </c>
      <c r="D40" s="44">
        <v>57</v>
      </c>
      <c r="E40" s="44">
        <v>55</v>
      </c>
      <c r="F40" s="44">
        <v>57</v>
      </c>
      <c r="G40" s="44">
        <v>55</v>
      </c>
      <c r="H40" s="44">
        <v>57</v>
      </c>
      <c r="I40" s="46">
        <v>55</v>
      </c>
      <c r="J40" s="43">
        <v>55</v>
      </c>
    </row>
    <row r="41" spans="1:10" x14ac:dyDescent="0.25">
      <c r="A41" s="15">
        <v>39</v>
      </c>
      <c r="B41" s="44">
        <v>57</v>
      </c>
      <c r="C41" s="44">
        <v>53</v>
      </c>
      <c r="D41" s="44">
        <v>57</v>
      </c>
      <c r="E41" s="44">
        <v>55</v>
      </c>
      <c r="F41" s="44">
        <v>57</v>
      </c>
      <c r="G41" s="44">
        <v>55</v>
      </c>
      <c r="H41" s="44">
        <v>57</v>
      </c>
      <c r="I41" s="46">
        <v>55</v>
      </c>
      <c r="J41" s="43">
        <v>55</v>
      </c>
    </row>
    <row r="42" spans="1:10" ht="15.75" thickBot="1" x14ac:dyDescent="0.3">
      <c r="A42" s="17">
        <v>40</v>
      </c>
      <c r="B42" s="48">
        <v>57</v>
      </c>
      <c r="C42" s="48">
        <v>53</v>
      </c>
      <c r="D42" s="48">
        <v>57</v>
      </c>
      <c r="E42" s="48">
        <v>57</v>
      </c>
      <c r="F42" s="44">
        <v>57</v>
      </c>
      <c r="G42" s="44">
        <v>55</v>
      </c>
      <c r="H42" s="48">
        <v>57</v>
      </c>
      <c r="I42" s="50">
        <v>55</v>
      </c>
      <c r="J42" s="43">
        <v>57</v>
      </c>
    </row>
    <row r="43" spans="1:10" x14ac:dyDescent="0.25">
      <c r="A43" s="12">
        <v>41</v>
      </c>
      <c r="B43" s="40">
        <v>55</v>
      </c>
      <c r="C43" s="40">
        <v>57</v>
      </c>
      <c r="D43" s="65">
        <v>57</v>
      </c>
      <c r="E43" s="65">
        <v>57</v>
      </c>
      <c r="F43" s="40">
        <v>57</v>
      </c>
      <c r="G43" s="40">
        <v>55</v>
      </c>
      <c r="H43" s="65">
        <v>55</v>
      </c>
      <c r="I43" s="65">
        <v>57</v>
      </c>
      <c r="J43" s="47">
        <v>57</v>
      </c>
    </row>
    <row r="44" spans="1:10" x14ac:dyDescent="0.25">
      <c r="A44" s="15">
        <v>42</v>
      </c>
      <c r="B44" s="44">
        <v>55</v>
      </c>
      <c r="C44" s="44">
        <v>57</v>
      </c>
      <c r="D44" s="65">
        <v>57</v>
      </c>
      <c r="E44" s="44">
        <v>57</v>
      </c>
      <c r="F44" s="44">
        <v>57</v>
      </c>
      <c r="G44" s="44">
        <v>57</v>
      </c>
      <c r="H44" s="44">
        <v>55</v>
      </c>
      <c r="I44" s="44">
        <v>57</v>
      </c>
      <c r="J44" s="47">
        <v>55</v>
      </c>
    </row>
    <row r="45" spans="1:10" x14ac:dyDescent="0.25">
      <c r="A45" s="15">
        <v>43</v>
      </c>
      <c r="B45" s="44">
        <v>55</v>
      </c>
      <c r="C45" s="44">
        <v>57</v>
      </c>
      <c r="D45" s="65">
        <v>57</v>
      </c>
      <c r="E45" s="44">
        <v>57</v>
      </c>
      <c r="F45" s="44">
        <v>55</v>
      </c>
      <c r="G45" s="44">
        <v>57</v>
      </c>
      <c r="H45" s="44">
        <v>55</v>
      </c>
      <c r="I45" s="44">
        <v>57</v>
      </c>
      <c r="J45" s="47">
        <v>57</v>
      </c>
    </row>
    <row r="46" spans="1:10" x14ac:dyDescent="0.25">
      <c r="A46" s="15">
        <v>44</v>
      </c>
      <c r="B46" s="44">
        <v>57</v>
      </c>
      <c r="C46" s="44">
        <v>53</v>
      </c>
      <c r="D46" s="65">
        <v>57</v>
      </c>
      <c r="E46" s="44">
        <v>57</v>
      </c>
      <c r="F46" s="44">
        <v>55</v>
      </c>
      <c r="G46" s="44">
        <v>57</v>
      </c>
      <c r="H46" s="44">
        <v>57</v>
      </c>
      <c r="I46" s="44">
        <v>57</v>
      </c>
      <c r="J46" s="47">
        <v>55</v>
      </c>
    </row>
    <row r="47" spans="1:10" x14ac:dyDescent="0.25">
      <c r="A47" s="15">
        <v>45</v>
      </c>
      <c r="B47" s="44">
        <v>57</v>
      </c>
      <c r="C47" s="44">
        <v>53</v>
      </c>
      <c r="D47" s="65">
        <v>57</v>
      </c>
      <c r="E47" s="44">
        <v>55</v>
      </c>
      <c r="F47" s="44">
        <v>57</v>
      </c>
      <c r="G47" s="44">
        <v>57</v>
      </c>
      <c r="H47" s="44">
        <v>57</v>
      </c>
      <c r="I47" s="44">
        <v>57</v>
      </c>
      <c r="J47" s="47">
        <v>55</v>
      </c>
    </row>
    <row r="48" spans="1:10" x14ac:dyDescent="0.25">
      <c r="A48" s="15">
        <v>46</v>
      </c>
      <c r="B48" s="44">
        <v>57</v>
      </c>
      <c r="C48" s="44">
        <v>55</v>
      </c>
      <c r="D48" s="65">
        <v>57</v>
      </c>
      <c r="E48" s="44">
        <v>55</v>
      </c>
      <c r="F48" s="44">
        <v>55</v>
      </c>
      <c r="G48" s="44">
        <v>57</v>
      </c>
      <c r="H48" s="44">
        <v>57</v>
      </c>
      <c r="I48" s="44">
        <v>57</v>
      </c>
      <c r="J48" s="47">
        <v>57</v>
      </c>
    </row>
    <row r="49" spans="1:11" x14ac:dyDescent="0.25">
      <c r="A49" s="15">
        <v>47</v>
      </c>
      <c r="B49" s="44">
        <v>57</v>
      </c>
      <c r="C49" s="44">
        <v>55</v>
      </c>
      <c r="D49" s="65">
        <v>57</v>
      </c>
      <c r="E49" s="44">
        <v>57</v>
      </c>
      <c r="F49" s="44">
        <v>55</v>
      </c>
      <c r="G49" s="44">
        <v>57</v>
      </c>
      <c r="H49" s="44">
        <v>57</v>
      </c>
      <c r="I49" s="71">
        <v>57</v>
      </c>
      <c r="J49" s="43">
        <v>57</v>
      </c>
    </row>
    <row r="50" spans="1:11" x14ac:dyDescent="0.25">
      <c r="A50" s="15">
        <v>48</v>
      </c>
      <c r="B50" s="44">
        <v>55</v>
      </c>
      <c r="C50" s="44">
        <v>55</v>
      </c>
      <c r="D50" s="65">
        <v>57</v>
      </c>
      <c r="E50" s="44">
        <v>57</v>
      </c>
      <c r="F50" s="44">
        <v>57</v>
      </c>
      <c r="G50" s="44">
        <v>57</v>
      </c>
      <c r="H50" s="44">
        <v>57</v>
      </c>
      <c r="I50" s="46">
        <v>55</v>
      </c>
      <c r="J50" s="43">
        <v>57</v>
      </c>
    </row>
    <row r="51" spans="1:11" x14ac:dyDescent="0.25">
      <c r="A51" s="15">
        <v>49</v>
      </c>
      <c r="B51" s="44">
        <v>55</v>
      </c>
      <c r="C51" s="44">
        <v>55</v>
      </c>
      <c r="D51" s="65">
        <v>57</v>
      </c>
      <c r="E51" s="44">
        <v>57</v>
      </c>
      <c r="F51" s="44">
        <v>57</v>
      </c>
      <c r="G51" s="44">
        <v>57</v>
      </c>
      <c r="H51" s="44">
        <v>57</v>
      </c>
      <c r="I51" s="46">
        <v>55</v>
      </c>
      <c r="J51" s="43">
        <v>55</v>
      </c>
    </row>
    <row r="52" spans="1:11" ht="15.75" thickBot="1" x14ac:dyDescent="0.3">
      <c r="A52" s="17">
        <v>50</v>
      </c>
      <c r="B52" s="48">
        <v>57</v>
      </c>
      <c r="C52" s="48">
        <v>53</v>
      </c>
      <c r="D52" s="48">
        <v>57</v>
      </c>
      <c r="E52" s="48">
        <v>57</v>
      </c>
      <c r="F52" s="48">
        <v>53</v>
      </c>
      <c r="G52" s="48">
        <v>55</v>
      </c>
      <c r="H52" s="48">
        <v>57</v>
      </c>
      <c r="I52" s="50">
        <v>55</v>
      </c>
      <c r="J52" s="43">
        <v>55</v>
      </c>
    </row>
    <row r="53" spans="1:11" x14ac:dyDescent="0.25">
      <c r="A53" s="5"/>
    </row>
    <row r="54" spans="1:11" x14ac:dyDescent="0.25">
      <c r="A54" s="22" t="s">
        <v>52</v>
      </c>
      <c r="B54" s="23">
        <f t="shared" ref="B54:J54" si="0">AVERAGE(B3:B52)</f>
        <v>55.72</v>
      </c>
      <c r="C54" s="23">
        <f t="shared" si="0"/>
        <v>54.38</v>
      </c>
      <c r="D54" s="23">
        <f t="shared" si="0"/>
        <v>56.92</v>
      </c>
      <c r="E54" s="23">
        <f t="shared" si="0"/>
        <v>56.28</v>
      </c>
      <c r="F54" s="23">
        <f t="shared" si="0"/>
        <v>55.72</v>
      </c>
      <c r="G54" s="23">
        <f t="shared" si="0"/>
        <v>56.04</v>
      </c>
      <c r="H54" s="23">
        <f t="shared" si="0"/>
        <v>56.68</v>
      </c>
      <c r="I54" s="23">
        <f t="shared" si="0"/>
        <v>55.96</v>
      </c>
      <c r="J54" s="23">
        <f t="shared" si="0"/>
        <v>55.88</v>
      </c>
    </row>
    <row r="55" spans="1:11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1" s="27" customFormat="1" x14ac:dyDescent="0.25">
      <c r="A56" s="88">
        <v>53</v>
      </c>
      <c r="B56" s="23">
        <f>COUNTIF(B3:B52,53)</f>
        <v>0</v>
      </c>
      <c r="C56" s="23">
        <f t="shared" ref="C56:J56" si="1">COUNTIF(C3:C52,53)</f>
        <v>22</v>
      </c>
      <c r="D56" s="23">
        <f t="shared" si="1"/>
        <v>0</v>
      </c>
      <c r="E56" s="23">
        <f t="shared" si="1"/>
        <v>0</v>
      </c>
      <c r="F56" s="23">
        <f t="shared" si="1"/>
        <v>8</v>
      </c>
      <c r="G56" s="23">
        <f t="shared" si="1"/>
        <v>0</v>
      </c>
      <c r="H56" s="23">
        <f t="shared" si="1"/>
        <v>0</v>
      </c>
      <c r="I56" s="23">
        <f t="shared" si="1"/>
        <v>1</v>
      </c>
      <c r="J56" s="23">
        <f t="shared" si="1"/>
        <v>0</v>
      </c>
    </row>
    <row r="57" spans="1:11" s="27" customFormat="1" x14ac:dyDescent="0.25">
      <c r="A57" s="88">
        <v>54</v>
      </c>
      <c r="B57" s="23">
        <f>COUNTIF(B3:B52,54)</f>
        <v>0</v>
      </c>
      <c r="C57" s="23">
        <f t="shared" ref="C57:J57" si="2">COUNTIF(C3:C52,54)</f>
        <v>4</v>
      </c>
      <c r="D57" s="23">
        <f t="shared" si="2"/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1" s="27" customFormat="1" x14ac:dyDescent="0.25">
      <c r="A58" s="88">
        <v>55</v>
      </c>
      <c r="B58" s="61">
        <f>COUNTIF(B3:B52,55)</f>
        <v>32</v>
      </c>
      <c r="C58" s="23">
        <f t="shared" ref="C58:J58" si="3">COUNTIF(C3:C52,55)</f>
        <v>16</v>
      </c>
      <c r="D58" s="23">
        <f t="shared" si="3"/>
        <v>2</v>
      </c>
      <c r="E58" s="23">
        <f t="shared" si="3"/>
        <v>18</v>
      </c>
      <c r="F58" s="23">
        <f t="shared" si="3"/>
        <v>16</v>
      </c>
      <c r="G58" s="23">
        <f t="shared" si="3"/>
        <v>24</v>
      </c>
      <c r="H58" s="23">
        <f t="shared" si="3"/>
        <v>8</v>
      </c>
      <c r="I58" s="23">
        <f t="shared" si="3"/>
        <v>24</v>
      </c>
      <c r="J58" s="61">
        <f t="shared" si="3"/>
        <v>28</v>
      </c>
    </row>
    <row r="59" spans="1:11" s="27" customFormat="1" x14ac:dyDescent="0.25">
      <c r="A59" s="88">
        <v>57</v>
      </c>
      <c r="B59" s="23">
        <f>COUNTIF(B3:B52,57)</f>
        <v>18</v>
      </c>
      <c r="C59" s="23">
        <f t="shared" ref="C59:J59" si="4">COUNTIF(C3:C52,57)</f>
        <v>7</v>
      </c>
      <c r="D59" s="61">
        <f t="shared" si="4"/>
        <v>48</v>
      </c>
      <c r="E59" s="61">
        <f t="shared" si="4"/>
        <v>32</v>
      </c>
      <c r="F59" s="61">
        <f t="shared" si="4"/>
        <v>26</v>
      </c>
      <c r="G59" s="61">
        <f t="shared" si="4"/>
        <v>26</v>
      </c>
      <c r="H59" s="61">
        <f t="shared" si="4"/>
        <v>42</v>
      </c>
      <c r="I59" s="61">
        <f t="shared" si="4"/>
        <v>25</v>
      </c>
      <c r="J59" s="23">
        <f t="shared" si="4"/>
        <v>22</v>
      </c>
    </row>
    <row r="60" spans="1:11" s="27" customFormat="1" x14ac:dyDescent="0.25">
      <c r="A60" s="88">
        <v>58</v>
      </c>
      <c r="B60" s="23">
        <f>COUNTIF(B3:B52,58)</f>
        <v>0</v>
      </c>
      <c r="C60" s="23">
        <f t="shared" ref="C60:J60" si="5">COUNTIF(C3:C52,58)</f>
        <v>1</v>
      </c>
      <c r="D60" s="23">
        <f t="shared" si="5"/>
        <v>0</v>
      </c>
      <c r="E60" s="23">
        <f t="shared" si="5"/>
        <v>0</v>
      </c>
      <c r="F60" s="23">
        <f t="shared" si="5"/>
        <v>0</v>
      </c>
      <c r="G60" s="23">
        <f t="shared" si="5"/>
        <v>0</v>
      </c>
      <c r="H60" s="23">
        <f t="shared" si="5"/>
        <v>0</v>
      </c>
      <c r="I60" s="23">
        <f t="shared" si="5"/>
        <v>0</v>
      </c>
      <c r="J60" s="23">
        <f t="shared" si="5"/>
        <v>0</v>
      </c>
    </row>
    <row r="61" spans="1:11" s="27" customFormat="1" x14ac:dyDescent="0.25">
      <c r="A61" s="88">
        <v>59</v>
      </c>
      <c r="B61" s="23">
        <f>COUNTIF(B3:B52,59)</f>
        <v>0</v>
      </c>
      <c r="C61" s="23">
        <f t="shared" ref="C61:J61" si="6">COUNTIF(C3:C52,59)</f>
        <v>0</v>
      </c>
      <c r="D61" s="23">
        <f t="shared" si="6"/>
        <v>0</v>
      </c>
      <c r="E61" s="23">
        <f t="shared" si="6"/>
        <v>0</v>
      </c>
      <c r="F61" s="23">
        <f t="shared" si="6"/>
        <v>0</v>
      </c>
      <c r="G61" s="23">
        <f t="shared" si="6"/>
        <v>0</v>
      </c>
      <c r="H61" s="23">
        <f t="shared" si="6"/>
        <v>0</v>
      </c>
      <c r="I61" s="23">
        <f t="shared" si="6"/>
        <v>0</v>
      </c>
      <c r="J61" s="23">
        <f t="shared" si="6"/>
        <v>0</v>
      </c>
    </row>
    <row r="62" spans="1:11" s="27" customFormat="1" x14ac:dyDescent="0.25">
      <c r="A62" s="22"/>
      <c r="B62" s="89">
        <f>SUM(B56:B61)</f>
        <v>50</v>
      </c>
      <c r="C62" s="89">
        <f t="shared" ref="C62:J62" si="7">SUM(C56:C61)</f>
        <v>50</v>
      </c>
      <c r="D62" s="89">
        <f t="shared" si="7"/>
        <v>50</v>
      </c>
      <c r="E62" s="89">
        <f t="shared" si="7"/>
        <v>50</v>
      </c>
      <c r="F62" s="89">
        <f t="shared" si="7"/>
        <v>50</v>
      </c>
      <c r="G62" s="89">
        <f t="shared" si="7"/>
        <v>50</v>
      </c>
      <c r="H62" s="89">
        <f t="shared" si="7"/>
        <v>50</v>
      </c>
      <c r="I62" s="89">
        <f t="shared" si="7"/>
        <v>50</v>
      </c>
      <c r="J62" s="89">
        <f t="shared" si="7"/>
        <v>50</v>
      </c>
    </row>
    <row r="63" spans="1:11" s="25" customFormat="1" x14ac:dyDescent="0.25">
      <c r="A63" s="28"/>
    </row>
    <row r="64" spans="1:11" x14ac:dyDescent="0.25">
      <c r="A64" s="93" t="s">
        <v>96</v>
      </c>
      <c r="B64" s="94">
        <f>SUM(B56:B61)</f>
        <v>50</v>
      </c>
      <c r="C64" s="94">
        <f t="shared" ref="C64:J64" si="8">SUM(C56:C61)</f>
        <v>50</v>
      </c>
      <c r="D64" s="94">
        <f t="shared" si="8"/>
        <v>50</v>
      </c>
      <c r="E64" s="94">
        <f t="shared" si="8"/>
        <v>50</v>
      </c>
      <c r="F64" s="94">
        <f t="shared" si="8"/>
        <v>50</v>
      </c>
      <c r="G64" s="94">
        <f t="shared" si="8"/>
        <v>50</v>
      </c>
      <c r="H64" s="94">
        <f t="shared" si="8"/>
        <v>50</v>
      </c>
      <c r="I64" s="94">
        <f t="shared" si="8"/>
        <v>50</v>
      </c>
      <c r="J64" s="94">
        <f t="shared" si="8"/>
        <v>50</v>
      </c>
      <c r="K64" s="93" t="s">
        <v>100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M69"/>
  <sheetViews>
    <sheetView workbookViewId="0">
      <selection activeCell="N16" sqref="N16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77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68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1">
        <v>57</v>
      </c>
      <c r="C3" s="65">
        <v>57</v>
      </c>
      <c r="D3" s="62">
        <v>57</v>
      </c>
      <c r="E3" s="40">
        <v>57</v>
      </c>
      <c r="F3" s="41">
        <v>57</v>
      </c>
      <c r="G3" s="65">
        <v>57</v>
      </c>
      <c r="H3" s="65">
        <v>57</v>
      </c>
      <c r="I3" s="80">
        <v>57</v>
      </c>
      <c r="J3" s="47">
        <v>57</v>
      </c>
      <c r="L3" s="47">
        <f>MIN(B3:J52)</f>
        <v>55</v>
      </c>
      <c r="M3" s="47">
        <f>MAX(B3:J52)</f>
        <v>63</v>
      </c>
    </row>
    <row r="4" spans="1:13" x14ac:dyDescent="0.25">
      <c r="A4" s="15">
        <v>2</v>
      </c>
      <c r="B4" s="45">
        <v>60</v>
      </c>
      <c r="C4" s="44">
        <v>57</v>
      </c>
      <c r="D4" s="63">
        <v>57</v>
      </c>
      <c r="E4" s="45">
        <v>60</v>
      </c>
      <c r="F4" s="45">
        <v>57</v>
      </c>
      <c r="G4" s="44">
        <v>57</v>
      </c>
      <c r="H4" s="44">
        <v>57</v>
      </c>
      <c r="I4" s="82">
        <v>57</v>
      </c>
      <c r="J4" s="47">
        <v>57</v>
      </c>
    </row>
    <row r="5" spans="1:13" x14ac:dyDescent="0.25">
      <c r="A5" s="15">
        <v>3</v>
      </c>
      <c r="B5" s="45">
        <v>57</v>
      </c>
      <c r="C5" s="44">
        <v>57</v>
      </c>
      <c r="D5" s="63">
        <v>57</v>
      </c>
      <c r="E5" s="45">
        <v>60</v>
      </c>
      <c r="F5" s="45">
        <v>57</v>
      </c>
      <c r="G5" s="44">
        <v>57</v>
      </c>
      <c r="H5" s="44">
        <v>57</v>
      </c>
      <c r="I5" s="82">
        <v>57</v>
      </c>
      <c r="J5" s="47">
        <v>57</v>
      </c>
    </row>
    <row r="6" spans="1:13" x14ac:dyDescent="0.25">
      <c r="A6" s="15">
        <v>4</v>
      </c>
      <c r="B6" s="45">
        <v>57</v>
      </c>
      <c r="C6" s="44">
        <v>57</v>
      </c>
      <c r="D6" s="63">
        <v>57</v>
      </c>
      <c r="E6" s="45">
        <v>60</v>
      </c>
      <c r="F6" s="45">
        <v>57</v>
      </c>
      <c r="G6" s="44">
        <v>57</v>
      </c>
      <c r="H6" s="44">
        <v>57</v>
      </c>
      <c r="I6" s="82">
        <v>57</v>
      </c>
      <c r="J6" s="47">
        <v>57</v>
      </c>
    </row>
    <row r="7" spans="1:13" x14ac:dyDescent="0.25">
      <c r="A7" s="15">
        <v>5</v>
      </c>
      <c r="B7" s="45">
        <v>57</v>
      </c>
      <c r="C7" s="44">
        <v>55</v>
      </c>
      <c r="D7" s="63">
        <v>60</v>
      </c>
      <c r="E7" s="44">
        <v>63</v>
      </c>
      <c r="F7" s="45">
        <v>55</v>
      </c>
      <c r="G7" s="44">
        <v>57</v>
      </c>
      <c r="H7" s="44">
        <v>57</v>
      </c>
      <c r="I7" s="82">
        <v>57</v>
      </c>
      <c r="J7" s="47">
        <v>57</v>
      </c>
    </row>
    <row r="8" spans="1:13" x14ac:dyDescent="0.25">
      <c r="A8" s="15">
        <v>6</v>
      </c>
      <c r="B8" s="44">
        <v>57</v>
      </c>
      <c r="C8" s="45">
        <v>57</v>
      </c>
      <c r="D8" s="44">
        <v>57</v>
      </c>
      <c r="E8" s="66">
        <v>60</v>
      </c>
      <c r="F8" s="45">
        <v>57</v>
      </c>
      <c r="G8" s="44">
        <v>57</v>
      </c>
      <c r="H8" s="44">
        <v>57</v>
      </c>
      <c r="I8" s="82">
        <v>57</v>
      </c>
      <c r="J8" s="47">
        <v>57</v>
      </c>
    </row>
    <row r="9" spans="1:13" x14ac:dyDescent="0.25">
      <c r="A9" s="15">
        <v>7</v>
      </c>
      <c r="B9" s="44">
        <v>60</v>
      </c>
      <c r="C9" s="45">
        <v>57</v>
      </c>
      <c r="D9" s="44">
        <v>57</v>
      </c>
      <c r="E9" s="63">
        <v>62</v>
      </c>
      <c r="F9" s="45">
        <v>57</v>
      </c>
      <c r="G9" s="44">
        <v>55</v>
      </c>
      <c r="H9" s="44">
        <v>57</v>
      </c>
      <c r="I9" s="82">
        <v>57</v>
      </c>
      <c r="J9" s="47">
        <v>60</v>
      </c>
    </row>
    <row r="10" spans="1:13" x14ac:dyDescent="0.25">
      <c r="A10" s="15">
        <v>8</v>
      </c>
      <c r="B10" s="44">
        <v>55</v>
      </c>
      <c r="C10" s="45">
        <v>57</v>
      </c>
      <c r="D10" s="44">
        <v>57</v>
      </c>
      <c r="E10" s="63">
        <v>57</v>
      </c>
      <c r="F10" s="44">
        <v>57</v>
      </c>
      <c r="G10" s="65">
        <v>57</v>
      </c>
      <c r="H10" s="44">
        <v>57</v>
      </c>
      <c r="I10" s="82">
        <v>57</v>
      </c>
      <c r="J10" s="47">
        <v>57</v>
      </c>
    </row>
    <row r="11" spans="1:13" x14ac:dyDescent="0.25">
      <c r="A11" s="15">
        <v>9</v>
      </c>
      <c r="B11" s="44">
        <v>55</v>
      </c>
      <c r="C11" s="45">
        <v>55</v>
      </c>
      <c r="D11" s="44">
        <v>57</v>
      </c>
      <c r="E11" s="63">
        <v>57</v>
      </c>
      <c r="F11" s="44">
        <v>57</v>
      </c>
      <c r="G11" s="44">
        <v>57</v>
      </c>
      <c r="H11" s="44">
        <v>57</v>
      </c>
      <c r="I11" s="82">
        <v>57</v>
      </c>
      <c r="J11" s="47">
        <v>57</v>
      </c>
    </row>
    <row r="12" spans="1:13" ht="15.75" thickBot="1" x14ac:dyDescent="0.3">
      <c r="A12" s="17">
        <v>10</v>
      </c>
      <c r="B12" s="48">
        <v>57</v>
      </c>
      <c r="C12" s="49">
        <v>55</v>
      </c>
      <c r="D12" s="48">
        <v>57</v>
      </c>
      <c r="E12" s="64">
        <v>57</v>
      </c>
      <c r="F12" s="48">
        <v>57</v>
      </c>
      <c r="G12" s="44">
        <v>57</v>
      </c>
      <c r="H12" s="48">
        <v>57</v>
      </c>
      <c r="I12" s="83">
        <v>57</v>
      </c>
      <c r="J12" s="47">
        <v>60</v>
      </c>
    </row>
    <row r="13" spans="1:13" x14ac:dyDescent="0.25">
      <c r="A13" s="12">
        <v>11</v>
      </c>
      <c r="B13" s="65">
        <v>57</v>
      </c>
      <c r="C13" s="65">
        <v>57</v>
      </c>
      <c r="D13" s="65">
        <v>57</v>
      </c>
      <c r="E13" s="40">
        <v>57</v>
      </c>
      <c r="F13" s="65">
        <v>55</v>
      </c>
      <c r="G13" s="40">
        <v>55</v>
      </c>
      <c r="H13" s="65">
        <v>57</v>
      </c>
      <c r="I13" s="51">
        <v>55</v>
      </c>
      <c r="J13" s="47">
        <v>60</v>
      </c>
    </row>
    <row r="14" spans="1:13" x14ac:dyDescent="0.25">
      <c r="A14" s="15">
        <v>12</v>
      </c>
      <c r="B14" s="44">
        <v>57</v>
      </c>
      <c r="C14" s="44">
        <v>57</v>
      </c>
      <c r="D14" s="44">
        <v>57</v>
      </c>
      <c r="E14" s="44">
        <v>60</v>
      </c>
      <c r="F14" s="44">
        <v>57</v>
      </c>
      <c r="G14" s="44">
        <v>57</v>
      </c>
      <c r="H14" s="45">
        <v>57</v>
      </c>
      <c r="I14" s="46">
        <v>55</v>
      </c>
      <c r="J14" s="47">
        <v>60</v>
      </c>
    </row>
    <row r="15" spans="1:13" x14ac:dyDescent="0.25">
      <c r="A15" s="15">
        <v>13</v>
      </c>
      <c r="B15" s="44">
        <v>57</v>
      </c>
      <c r="C15" s="44">
        <v>57</v>
      </c>
      <c r="D15" s="44">
        <v>57</v>
      </c>
      <c r="E15" s="44">
        <v>60</v>
      </c>
      <c r="F15" s="44">
        <v>57</v>
      </c>
      <c r="G15" s="44">
        <v>57</v>
      </c>
      <c r="H15" s="44">
        <v>57</v>
      </c>
      <c r="I15" s="81">
        <v>55</v>
      </c>
      <c r="J15" s="47">
        <v>61</v>
      </c>
    </row>
    <row r="16" spans="1:13" x14ac:dyDescent="0.25">
      <c r="A16" s="15">
        <v>14</v>
      </c>
      <c r="B16" s="44">
        <v>57</v>
      </c>
      <c r="C16" s="44">
        <v>57</v>
      </c>
      <c r="D16" s="44">
        <v>57</v>
      </c>
      <c r="E16" s="44">
        <v>63</v>
      </c>
      <c r="F16" s="44">
        <v>60</v>
      </c>
      <c r="G16" s="44">
        <v>57</v>
      </c>
      <c r="H16" s="44">
        <v>57</v>
      </c>
      <c r="I16" s="82">
        <v>57</v>
      </c>
      <c r="J16" s="47">
        <v>60</v>
      </c>
    </row>
    <row r="17" spans="1:10" x14ac:dyDescent="0.25">
      <c r="A17" s="15">
        <v>15</v>
      </c>
      <c r="B17" s="44">
        <v>57</v>
      </c>
      <c r="C17" s="44">
        <v>55</v>
      </c>
      <c r="D17" s="44">
        <v>57</v>
      </c>
      <c r="E17" s="44">
        <v>62</v>
      </c>
      <c r="F17" s="44">
        <v>57</v>
      </c>
      <c r="G17" s="44">
        <v>55</v>
      </c>
      <c r="H17" s="65">
        <v>57</v>
      </c>
      <c r="I17" s="82">
        <v>57</v>
      </c>
      <c r="J17" s="47">
        <v>57</v>
      </c>
    </row>
    <row r="18" spans="1:10" x14ac:dyDescent="0.25">
      <c r="A18" s="15">
        <v>16</v>
      </c>
      <c r="B18" s="44">
        <v>57</v>
      </c>
      <c r="C18" s="44">
        <v>57</v>
      </c>
      <c r="D18" s="44">
        <v>57</v>
      </c>
      <c r="E18" s="44">
        <v>61</v>
      </c>
      <c r="F18" s="44">
        <v>57</v>
      </c>
      <c r="G18" s="44">
        <v>55</v>
      </c>
      <c r="H18" s="65">
        <v>57</v>
      </c>
      <c r="I18" s="82">
        <v>57</v>
      </c>
      <c r="J18" s="47">
        <v>57</v>
      </c>
    </row>
    <row r="19" spans="1:10" x14ac:dyDescent="0.25">
      <c r="A19" s="15">
        <v>17</v>
      </c>
      <c r="B19" s="44">
        <v>57</v>
      </c>
      <c r="C19" s="44">
        <v>57</v>
      </c>
      <c r="D19" s="44">
        <v>57</v>
      </c>
      <c r="E19" s="44">
        <v>61</v>
      </c>
      <c r="F19" s="44">
        <v>57</v>
      </c>
      <c r="G19" s="44">
        <v>57</v>
      </c>
      <c r="H19" s="65">
        <v>57</v>
      </c>
      <c r="I19" s="82">
        <v>55</v>
      </c>
      <c r="J19" s="47">
        <v>57</v>
      </c>
    </row>
    <row r="20" spans="1:10" x14ac:dyDescent="0.25">
      <c r="A20" s="15">
        <v>18</v>
      </c>
      <c r="B20" s="44">
        <v>57</v>
      </c>
      <c r="C20" s="44">
        <v>57</v>
      </c>
      <c r="D20" s="44">
        <v>57</v>
      </c>
      <c r="E20" s="44">
        <v>61</v>
      </c>
      <c r="F20" s="44">
        <v>57</v>
      </c>
      <c r="G20" s="44">
        <v>57</v>
      </c>
      <c r="H20" s="65">
        <v>57</v>
      </c>
      <c r="I20" s="82">
        <v>55</v>
      </c>
      <c r="J20" s="47">
        <v>57</v>
      </c>
    </row>
    <row r="21" spans="1:10" x14ac:dyDescent="0.25">
      <c r="A21" s="15">
        <v>19</v>
      </c>
      <c r="B21" s="44">
        <v>60</v>
      </c>
      <c r="C21" s="44">
        <v>57</v>
      </c>
      <c r="D21" s="44">
        <v>57</v>
      </c>
      <c r="E21" s="44">
        <v>60</v>
      </c>
      <c r="F21" s="44">
        <v>57</v>
      </c>
      <c r="G21" s="44">
        <v>57</v>
      </c>
      <c r="H21" s="65">
        <v>57</v>
      </c>
      <c r="I21" s="82">
        <v>57</v>
      </c>
      <c r="J21" s="47">
        <v>57</v>
      </c>
    </row>
    <row r="22" spans="1:10" ht="15.75" thickBot="1" x14ac:dyDescent="0.3">
      <c r="A22" s="17">
        <v>20</v>
      </c>
      <c r="B22" s="48">
        <v>57</v>
      </c>
      <c r="C22" s="48">
        <v>57</v>
      </c>
      <c r="D22" s="48">
        <v>57</v>
      </c>
      <c r="E22" s="48">
        <v>57</v>
      </c>
      <c r="F22" s="48">
        <v>57</v>
      </c>
      <c r="G22" s="48">
        <v>57</v>
      </c>
      <c r="H22" s="48">
        <v>57</v>
      </c>
      <c r="I22" s="83">
        <v>57</v>
      </c>
      <c r="J22" s="47">
        <v>57</v>
      </c>
    </row>
    <row r="23" spans="1:10" x14ac:dyDescent="0.25">
      <c r="A23" s="12">
        <v>21</v>
      </c>
      <c r="B23" s="65">
        <v>57</v>
      </c>
      <c r="C23" s="65">
        <v>57</v>
      </c>
      <c r="D23" s="65">
        <v>57</v>
      </c>
      <c r="E23" s="40">
        <v>57</v>
      </c>
      <c r="F23" s="65">
        <v>57</v>
      </c>
      <c r="G23" s="40">
        <v>55</v>
      </c>
      <c r="H23" s="65">
        <v>57</v>
      </c>
      <c r="I23" s="71">
        <v>57</v>
      </c>
      <c r="J23" s="43">
        <v>57</v>
      </c>
    </row>
    <row r="24" spans="1:10" x14ac:dyDescent="0.25">
      <c r="A24" s="15">
        <v>22</v>
      </c>
      <c r="B24" s="44">
        <v>60</v>
      </c>
      <c r="C24" s="44">
        <v>55</v>
      </c>
      <c r="D24" s="65">
        <v>57</v>
      </c>
      <c r="E24" s="44">
        <v>57</v>
      </c>
      <c r="F24" s="44">
        <v>57</v>
      </c>
      <c r="G24" s="44">
        <v>57</v>
      </c>
      <c r="H24" s="44">
        <v>57</v>
      </c>
      <c r="I24" s="71">
        <v>57</v>
      </c>
      <c r="J24" s="43">
        <v>60</v>
      </c>
    </row>
    <row r="25" spans="1:10" x14ac:dyDescent="0.25">
      <c r="A25" s="15">
        <v>23</v>
      </c>
      <c r="B25" s="44">
        <v>57</v>
      </c>
      <c r="C25" s="44">
        <v>57</v>
      </c>
      <c r="D25" s="65">
        <v>57</v>
      </c>
      <c r="E25" s="44">
        <v>60</v>
      </c>
      <c r="F25" s="44">
        <v>55</v>
      </c>
      <c r="G25" s="44">
        <v>57</v>
      </c>
      <c r="H25" s="44">
        <v>57</v>
      </c>
      <c r="I25" s="71">
        <v>57</v>
      </c>
      <c r="J25" s="43">
        <v>60</v>
      </c>
    </row>
    <row r="26" spans="1:10" x14ac:dyDescent="0.25">
      <c r="A26" s="15">
        <v>24</v>
      </c>
      <c r="B26" s="44">
        <v>60</v>
      </c>
      <c r="C26" s="44">
        <v>57</v>
      </c>
      <c r="D26" s="65">
        <v>57</v>
      </c>
      <c r="E26" s="44">
        <v>63</v>
      </c>
      <c r="F26" s="44">
        <v>57</v>
      </c>
      <c r="G26" s="44">
        <v>57</v>
      </c>
      <c r="H26" s="44">
        <v>60</v>
      </c>
      <c r="I26" s="71">
        <v>57</v>
      </c>
      <c r="J26" s="43">
        <v>60</v>
      </c>
    </row>
    <row r="27" spans="1:10" x14ac:dyDescent="0.25">
      <c r="A27" s="15">
        <v>25</v>
      </c>
      <c r="B27" s="44">
        <v>55</v>
      </c>
      <c r="C27" s="44">
        <v>57</v>
      </c>
      <c r="D27" s="65">
        <v>57</v>
      </c>
      <c r="E27" s="44">
        <v>63</v>
      </c>
      <c r="F27" s="44">
        <v>57</v>
      </c>
      <c r="G27" s="44">
        <v>57</v>
      </c>
      <c r="H27" s="44">
        <v>57</v>
      </c>
      <c r="I27" s="71">
        <v>57</v>
      </c>
      <c r="J27" s="43">
        <v>60</v>
      </c>
    </row>
    <row r="28" spans="1:10" x14ac:dyDescent="0.25">
      <c r="A28" s="15">
        <v>26</v>
      </c>
      <c r="B28" s="44">
        <v>57</v>
      </c>
      <c r="C28" s="44">
        <v>57</v>
      </c>
      <c r="D28" s="65">
        <v>57</v>
      </c>
      <c r="E28" s="44">
        <v>62</v>
      </c>
      <c r="F28" s="44">
        <v>57</v>
      </c>
      <c r="G28" s="44">
        <v>57</v>
      </c>
      <c r="H28" s="44">
        <v>57</v>
      </c>
      <c r="I28" s="46">
        <v>55</v>
      </c>
      <c r="J28" s="43">
        <v>60</v>
      </c>
    </row>
    <row r="29" spans="1:10" x14ac:dyDescent="0.25">
      <c r="A29" s="15">
        <v>27</v>
      </c>
      <c r="B29" s="44">
        <v>57</v>
      </c>
      <c r="C29" s="44">
        <v>57</v>
      </c>
      <c r="D29" s="65">
        <v>57</v>
      </c>
      <c r="E29" s="44">
        <v>60</v>
      </c>
      <c r="F29" s="44">
        <v>57</v>
      </c>
      <c r="G29" s="44">
        <v>57</v>
      </c>
      <c r="H29" s="44">
        <v>57</v>
      </c>
      <c r="I29" s="46">
        <v>57</v>
      </c>
      <c r="J29" s="43">
        <v>60</v>
      </c>
    </row>
    <row r="30" spans="1:10" x14ac:dyDescent="0.25">
      <c r="A30" s="15">
        <v>28</v>
      </c>
      <c r="B30" s="44">
        <v>57</v>
      </c>
      <c r="C30" s="44">
        <v>57</v>
      </c>
      <c r="D30" s="65">
        <v>57</v>
      </c>
      <c r="E30" s="44">
        <v>57</v>
      </c>
      <c r="F30" s="44">
        <v>57</v>
      </c>
      <c r="G30" s="44">
        <v>57</v>
      </c>
      <c r="H30" s="44">
        <v>57</v>
      </c>
      <c r="I30" s="46">
        <v>57</v>
      </c>
      <c r="J30" s="43">
        <v>57</v>
      </c>
    </row>
    <row r="31" spans="1:10" x14ac:dyDescent="0.25">
      <c r="A31" s="15">
        <v>29</v>
      </c>
      <c r="B31" s="44">
        <v>57</v>
      </c>
      <c r="C31" s="44">
        <v>55</v>
      </c>
      <c r="D31" s="65">
        <v>57</v>
      </c>
      <c r="E31" s="44">
        <v>57</v>
      </c>
      <c r="F31" s="44">
        <v>57</v>
      </c>
      <c r="G31" s="44">
        <v>57</v>
      </c>
      <c r="H31" s="44">
        <v>57</v>
      </c>
      <c r="I31" s="46">
        <v>57</v>
      </c>
      <c r="J31" s="43">
        <v>57</v>
      </c>
    </row>
    <row r="32" spans="1:10" ht="15.75" thickBot="1" x14ac:dyDescent="0.3">
      <c r="A32" s="17">
        <v>30</v>
      </c>
      <c r="B32" s="48">
        <v>60</v>
      </c>
      <c r="C32" s="48">
        <v>57</v>
      </c>
      <c r="D32" s="48">
        <v>57</v>
      </c>
      <c r="E32" s="44">
        <v>57</v>
      </c>
      <c r="F32" s="48">
        <v>57</v>
      </c>
      <c r="G32" s="44">
        <v>57</v>
      </c>
      <c r="H32" s="48">
        <v>57</v>
      </c>
      <c r="I32" s="46">
        <v>57</v>
      </c>
      <c r="J32" s="43">
        <v>57</v>
      </c>
    </row>
    <row r="33" spans="1:10" x14ac:dyDescent="0.25">
      <c r="A33" s="12">
        <v>31</v>
      </c>
      <c r="B33" s="65">
        <v>57</v>
      </c>
      <c r="C33" s="65">
        <v>57</v>
      </c>
      <c r="D33" s="65">
        <v>57</v>
      </c>
      <c r="E33" s="40">
        <v>62</v>
      </c>
      <c r="F33" s="65">
        <v>55</v>
      </c>
      <c r="G33" s="40">
        <v>60</v>
      </c>
      <c r="H33" s="65">
        <v>60</v>
      </c>
      <c r="I33" s="42">
        <v>55</v>
      </c>
      <c r="J33" s="43">
        <v>57</v>
      </c>
    </row>
    <row r="34" spans="1:10" x14ac:dyDescent="0.25">
      <c r="A34" s="15">
        <v>32</v>
      </c>
      <c r="B34" s="44">
        <v>57</v>
      </c>
      <c r="C34" s="44">
        <v>57</v>
      </c>
      <c r="D34" s="65">
        <v>57</v>
      </c>
      <c r="E34" s="44">
        <v>62</v>
      </c>
      <c r="F34" s="44">
        <v>57</v>
      </c>
      <c r="G34" s="44">
        <v>57</v>
      </c>
      <c r="H34" s="44">
        <v>57</v>
      </c>
      <c r="I34" s="46">
        <v>55</v>
      </c>
      <c r="J34" s="43">
        <v>57</v>
      </c>
    </row>
    <row r="35" spans="1:10" x14ac:dyDescent="0.25">
      <c r="A35" s="15">
        <v>33</v>
      </c>
      <c r="B35" s="44">
        <v>57</v>
      </c>
      <c r="C35" s="44">
        <v>57</v>
      </c>
      <c r="D35" s="65">
        <v>57</v>
      </c>
      <c r="E35" s="44">
        <v>61</v>
      </c>
      <c r="F35" s="44">
        <v>57</v>
      </c>
      <c r="G35" s="44">
        <v>57</v>
      </c>
      <c r="H35" s="44">
        <v>57</v>
      </c>
      <c r="I35" s="46">
        <v>57</v>
      </c>
      <c r="J35" s="43">
        <v>57</v>
      </c>
    </row>
    <row r="36" spans="1:10" x14ac:dyDescent="0.25">
      <c r="A36" s="15">
        <v>34</v>
      </c>
      <c r="B36" s="44">
        <v>57</v>
      </c>
      <c r="C36" s="44">
        <v>57</v>
      </c>
      <c r="D36" s="65">
        <v>57</v>
      </c>
      <c r="E36" s="44">
        <v>60</v>
      </c>
      <c r="F36" s="44">
        <v>60</v>
      </c>
      <c r="G36" s="44">
        <v>57</v>
      </c>
      <c r="H36" s="44">
        <v>57</v>
      </c>
      <c r="I36" s="46">
        <v>57</v>
      </c>
      <c r="J36" s="43">
        <v>60</v>
      </c>
    </row>
    <row r="37" spans="1:10" x14ac:dyDescent="0.25">
      <c r="A37" s="15">
        <v>35</v>
      </c>
      <c r="B37" s="44">
        <v>57</v>
      </c>
      <c r="C37" s="44">
        <v>57</v>
      </c>
      <c r="D37" s="65">
        <v>57</v>
      </c>
      <c r="E37" s="44">
        <v>57</v>
      </c>
      <c r="F37" s="44">
        <v>57</v>
      </c>
      <c r="G37" s="44">
        <v>57</v>
      </c>
      <c r="H37" s="44">
        <v>57</v>
      </c>
      <c r="I37" s="46">
        <v>57</v>
      </c>
      <c r="J37" s="43">
        <v>57</v>
      </c>
    </row>
    <row r="38" spans="1:10" x14ac:dyDescent="0.25">
      <c r="A38" s="15">
        <v>36</v>
      </c>
      <c r="B38" s="44">
        <v>60</v>
      </c>
      <c r="C38" s="44">
        <v>57</v>
      </c>
      <c r="D38" s="65">
        <v>57</v>
      </c>
      <c r="E38" s="44">
        <v>57</v>
      </c>
      <c r="F38" s="44">
        <v>57</v>
      </c>
      <c r="G38" s="44">
        <v>57</v>
      </c>
      <c r="H38" s="44">
        <v>57</v>
      </c>
      <c r="I38" s="46">
        <v>57</v>
      </c>
      <c r="J38" s="43">
        <v>57</v>
      </c>
    </row>
    <row r="39" spans="1:10" x14ac:dyDescent="0.25">
      <c r="A39" s="15">
        <v>37</v>
      </c>
      <c r="B39" s="44">
        <v>57</v>
      </c>
      <c r="C39" s="44">
        <v>57</v>
      </c>
      <c r="D39" s="65">
        <v>57</v>
      </c>
      <c r="E39" s="44">
        <v>57</v>
      </c>
      <c r="F39" s="44">
        <v>57</v>
      </c>
      <c r="G39" s="44">
        <v>57</v>
      </c>
      <c r="H39" s="44">
        <v>57</v>
      </c>
      <c r="I39" s="46">
        <v>60</v>
      </c>
      <c r="J39" s="43">
        <v>60</v>
      </c>
    </row>
    <row r="40" spans="1:10" x14ac:dyDescent="0.25">
      <c r="A40" s="15">
        <v>38</v>
      </c>
      <c r="B40" s="44">
        <v>57</v>
      </c>
      <c r="C40" s="44">
        <v>57</v>
      </c>
      <c r="D40" s="65">
        <v>57</v>
      </c>
      <c r="E40" s="44">
        <v>60</v>
      </c>
      <c r="F40" s="44">
        <v>55</v>
      </c>
      <c r="G40" s="44">
        <v>57</v>
      </c>
      <c r="H40" s="44">
        <v>57</v>
      </c>
      <c r="I40" s="46">
        <v>57</v>
      </c>
      <c r="J40" s="43">
        <v>57</v>
      </c>
    </row>
    <row r="41" spans="1:10" x14ac:dyDescent="0.25">
      <c r="A41" s="15">
        <v>39</v>
      </c>
      <c r="B41" s="44">
        <v>60</v>
      </c>
      <c r="C41" s="44">
        <v>55</v>
      </c>
      <c r="D41" s="65">
        <v>57</v>
      </c>
      <c r="E41" s="44">
        <v>60</v>
      </c>
      <c r="F41" s="44">
        <v>57</v>
      </c>
      <c r="G41" s="44">
        <v>57</v>
      </c>
      <c r="H41" s="44">
        <v>57</v>
      </c>
      <c r="I41" s="46">
        <v>57</v>
      </c>
      <c r="J41" s="43">
        <v>57</v>
      </c>
    </row>
    <row r="42" spans="1:10" ht="15.75" thickBot="1" x14ac:dyDescent="0.3">
      <c r="A42" s="17">
        <v>40</v>
      </c>
      <c r="B42" s="48">
        <v>57</v>
      </c>
      <c r="C42" s="48">
        <v>57</v>
      </c>
      <c r="D42" s="48">
        <v>57</v>
      </c>
      <c r="E42" s="48">
        <v>60</v>
      </c>
      <c r="F42" s="44">
        <v>57</v>
      </c>
      <c r="G42" s="48">
        <v>57</v>
      </c>
      <c r="H42" s="48">
        <v>57</v>
      </c>
      <c r="I42" s="50">
        <v>60</v>
      </c>
      <c r="J42" s="43">
        <v>55</v>
      </c>
    </row>
    <row r="43" spans="1:10" x14ac:dyDescent="0.25">
      <c r="A43" s="12">
        <v>41</v>
      </c>
      <c r="B43" s="40">
        <v>57</v>
      </c>
      <c r="C43" s="65">
        <v>57</v>
      </c>
      <c r="D43" s="65">
        <v>57</v>
      </c>
      <c r="E43" s="65">
        <v>60</v>
      </c>
      <c r="F43" s="40">
        <v>57</v>
      </c>
      <c r="G43" s="67">
        <v>57</v>
      </c>
      <c r="H43" s="65">
        <v>57</v>
      </c>
      <c r="I43" s="80">
        <v>60</v>
      </c>
      <c r="J43" s="47">
        <v>63</v>
      </c>
    </row>
    <row r="44" spans="1:10" x14ac:dyDescent="0.25">
      <c r="A44" s="15">
        <v>42</v>
      </c>
      <c r="B44" s="44">
        <v>55</v>
      </c>
      <c r="C44" s="44">
        <v>57</v>
      </c>
      <c r="D44" s="65">
        <v>57</v>
      </c>
      <c r="E44" s="44">
        <v>63</v>
      </c>
      <c r="F44" s="44">
        <v>57</v>
      </c>
      <c r="G44" s="67">
        <v>57</v>
      </c>
      <c r="H44" s="44">
        <v>57</v>
      </c>
      <c r="I44" s="81">
        <v>57</v>
      </c>
      <c r="J44" s="47">
        <v>60</v>
      </c>
    </row>
    <row r="45" spans="1:10" x14ac:dyDescent="0.25">
      <c r="A45" s="15">
        <v>43</v>
      </c>
      <c r="B45" s="44">
        <v>57</v>
      </c>
      <c r="C45" s="44">
        <v>57</v>
      </c>
      <c r="D45" s="65">
        <v>57</v>
      </c>
      <c r="E45" s="44">
        <v>63</v>
      </c>
      <c r="F45" s="44">
        <v>57</v>
      </c>
      <c r="G45" s="67">
        <v>57</v>
      </c>
      <c r="H45" s="44">
        <v>57</v>
      </c>
      <c r="I45" s="81">
        <v>57</v>
      </c>
      <c r="J45" s="47">
        <v>57</v>
      </c>
    </row>
    <row r="46" spans="1:10" x14ac:dyDescent="0.25">
      <c r="A46" s="15">
        <v>44</v>
      </c>
      <c r="B46" s="44">
        <v>60</v>
      </c>
      <c r="C46" s="44">
        <v>57</v>
      </c>
      <c r="D46" s="65">
        <v>57</v>
      </c>
      <c r="E46" s="44">
        <v>62</v>
      </c>
      <c r="F46" s="44">
        <v>57</v>
      </c>
      <c r="G46" s="67">
        <v>55</v>
      </c>
      <c r="H46" s="44">
        <v>57</v>
      </c>
      <c r="I46" s="81">
        <v>57</v>
      </c>
      <c r="J46" s="47">
        <v>57</v>
      </c>
    </row>
    <row r="47" spans="1:10" x14ac:dyDescent="0.25">
      <c r="A47" s="15">
        <v>45</v>
      </c>
      <c r="B47" s="44">
        <v>60</v>
      </c>
      <c r="C47" s="44">
        <v>57</v>
      </c>
      <c r="D47" s="65">
        <v>57</v>
      </c>
      <c r="E47" s="44">
        <v>61</v>
      </c>
      <c r="F47" s="44">
        <v>55</v>
      </c>
      <c r="G47" s="67">
        <v>57</v>
      </c>
      <c r="H47" s="44">
        <v>57</v>
      </c>
      <c r="I47" s="81">
        <v>60</v>
      </c>
      <c r="J47" s="47">
        <v>57</v>
      </c>
    </row>
    <row r="48" spans="1:10" x14ac:dyDescent="0.25">
      <c r="A48" s="15">
        <v>46</v>
      </c>
      <c r="B48" s="44">
        <v>57</v>
      </c>
      <c r="C48" s="44">
        <v>57</v>
      </c>
      <c r="D48" s="65">
        <v>57</v>
      </c>
      <c r="E48" s="44">
        <v>60</v>
      </c>
      <c r="F48" s="44">
        <v>57</v>
      </c>
      <c r="G48" s="67">
        <v>57</v>
      </c>
      <c r="H48" s="44">
        <v>57</v>
      </c>
      <c r="I48" s="81">
        <v>57</v>
      </c>
      <c r="J48" s="47">
        <v>57</v>
      </c>
    </row>
    <row r="49" spans="1:10" x14ac:dyDescent="0.25">
      <c r="A49" s="15">
        <v>47</v>
      </c>
      <c r="B49" s="44">
        <v>57</v>
      </c>
      <c r="C49" s="44">
        <v>57</v>
      </c>
      <c r="D49" s="65">
        <v>57</v>
      </c>
      <c r="E49" s="44">
        <v>60</v>
      </c>
      <c r="F49" s="44">
        <v>57</v>
      </c>
      <c r="G49" s="67">
        <v>57</v>
      </c>
      <c r="H49" s="44">
        <v>57</v>
      </c>
      <c r="I49" s="81">
        <v>60</v>
      </c>
      <c r="J49" s="47">
        <v>57</v>
      </c>
    </row>
    <row r="50" spans="1:10" x14ac:dyDescent="0.25">
      <c r="A50" s="15">
        <v>48</v>
      </c>
      <c r="B50" s="44">
        <v>57</v>
      </c>
      <c r="C50" s="44">
        <v>57</v>
      </c>
      <c r="D50" s="65">
        <v>57</v>
      </c>
      <c r="E50" s="44">
        <v>60</v>
      </c>
      <c r="F50" s="44">
        <v>57</v>
      </c>
      <c r="G50" s="67">
        <v>57</v>
      </c>
      <c r="H50" s="44">
        <v>57</v>
      </c>
      <c r="I50" s="44">
        <v>57</v>
      </c>
      <c r="J50" s="47">
        <v>57</v>
      </c>
    </row>
    <row r="51" spans="1:10" x14ac:dyDescent="0.25">
      <c r="A51" s="15">
        <v>49</v>
      </c>
      <c r="B51" s="44">
        <v>57</v>
      </c>
      <c r="C51" s="44">
        <v>57</v>
      </c>
      <c r="D51" s="65">
        <v>57</v>
      </c>
      <c r="E51" s="44">
        <v>60</v>
      </c>
      <c r="F51" s="44">
        <v>57</v>
      </c>
      <c r="G51" s="67">
        <v>57</v>
      </c>
      <c r="H51" s="44">
        <v>57</v>
      </c>
      <c r="I51" s="81">
        <v>57</v>
      </c>
      <c r="J51" s="43">
        <v>57</v>
      </c>
    </row>
    <row r="52" spans="1:10" ht="15.75" thickBot="1" x14ac:dyDescent="0.3">
      <c r="A52" s="17">
        <v>50</v>
      </c>
      <c r="B52" s="48">
        <v>60</v>
      </c>
      <c r="C52" s="48">
        <v>55</v>
      </c>
      <c r="D52" s="48">
        <v>57</v>
      </c>
      <c r="E52" s="48">
        <v>60</v>
      </c>
      <c r="F52" s="48">
        <v>57</v>
      </c>
      <c r="G52" s="48">
        <v>60</v>
      </c>
      <c r="H52" s="79">
        <v>60</v>
      </c>
      <c r="I52" s="50">
        <v>60</v>
      </c>
      <c r="J52" s="43">
        <v>57</v>
      </c>
    </row>
    <row r="53" spans="1:10" x14ac:dyDescent="0.25">
      <c r="A53" s="5"/>
    </row>
    <row r="54" spans="1:10" x14ac:dyDescent="0.25">
      <c r="A54" s="22" t="s">
        <v>52</v>
      </c>
      <c r="B54" s="23">
        <f t="shared" ref="B54:J54" si="0">AVERAGE(B3:B52)</f>
        <v>57.5</v>
      </c>
      <c r="C54" s="23">
        <f t="shared" si="0"/>
        <v>56.68</v>
      </c>
      <c r="D54" s="23">
        <f t="shared" si="0"/>
        <v>57.06</v>
      </c>
      <c r="E54" s="23">
        <f t="shared" si="0"/>
        <v>59.86</v>
      </c>
      <c r="F54" s="23">
        <f t="shared" si="0"/>
        <v>56.88</v>
      </c>
      <c r="G54" s="23">
        <f t="shared" si="0"/>
        <v>56.88</v>
      </c>
      <c r="H54" s="23">
        <f t="shared" si="0"/>
        <v>57.18</v>
      </c>
      <c r="I54" s="23">
        <f t="shared" si="0"/>
        <v>57.04</v>
      </c>
      <c r="J54" s="23">
        <f t="shared" si="0"/>
        <v>58</v>
      </c>
    </row>
    <row r="55" spans="1:10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0" s="27" customFormat="1" x14ac:dyDescent="0.25">
      <c r="A56" s="88">
        <v>53</v>
      </c>
      <c r="B56" s="23">
        <f>COUNTIF(B3:B52,53)</f>
        <v>0</v>
      </c>
      <c r="C56" s="23">
        <f t="shared" ref="C56:J56" si="1">COUNTIF(C3:C52,53)</f>
        <v>0</v>
      </c>
      <c r="D56" s="23">
        <f t="shared" si="1"/>
        <v>0</v>
      </c>
      <c r="E56" s="23">
        <f t="shared" si="1"/>
        <v>0</v>
      </c>
      <c r="F56" s="23">
        <f t="shared" si="1"/>
        <v>0</v>
      </c>
      <c r="G56" s="23">
        <f t="shared" si="1"/>
        <v>0</v>
      </c>
      <c r="H56" s="23">
        <f t="shared" si="1"/>
        <v>0</v>
      </c>
      <c r="I56" s="23">
        <f t="shared" si="1"/>
        <v>0</v>
      </c>
      <c r="J56" s="23">
        <f t="shared" si="1"/>
        <v>0</v>
      </c>
    </row>
    <row r="57" spans="1:10" s="27" customFormat="1" x14ac:dyDescent="0.25">
      <c r="A57" s="88">
        <v>54</v>
      </c>
      <c r="B57" s="23">
        <f>COUNTIF(B3:B52,54)</f>
        <v>0</v>
      </c>
      <c r="C57" s="23">
        <f t="shared" ref="C57:J57" si="2">COUNTIF(C3:C52,54)</f>
        <v>0</v>
      </c>
      <c r="D57" s="23">
        <f t="shared" si="2"/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0" s="27" customFormat="1" x14ac:dyDescent="0.25">
      <c r="A58" s="88">
        <v>55</v>
      </c>
      <c r="B58" s="23">
        <f>COUNTIF(B3:B52,55)</f>
        <v>4</v>
      </c>
      <c r="C58" s="23">
        <f t="shared" ref="C58:J58" si="3">COUNTIF(C3:C52,55)</f>
        <v>8</v>
      </c>
      <c r="D58" s="23">
        <f t="shared" si="3"/>
        <v>0</v>
      </c>
      <c r="E58" s="23">
        <f t="shared" si="3"/>
        <v>0</v>
      </c>
      <c r="F58" s="23">
        <f t="shared" si="3"/>
        <v>6</v>
      </c>
      <c r="G58" s="23">
        <f t="shared" si="3"/>
        <v>6</v>
      </c>
      <c r="H58" s="23">
        <f t="shared" si="3"/>
        <v>0</v>
      </c>
      <c r="I58" s="23">
        <f t="shared" si="3"/>
        <v>8</v>
      </c>
      <c r="J58" s="23">
        <f t="shared" si="3"/>
        <v>1</v>
      </c>
    </row>
    <row r="59" spans="1:10" s="27" customFormat="1" x14ac:dyDescent="0.25">
      <c r="A59" s="88">
        <v>57</v>
      </c>
      <c r="B59" s="93">
        <f>COUNTIF(B3:B52,57)</f>
        <v>35</v>
      </c>
      <c r="C59" s="93">
        <f t="shared" ref="C59:J59" si="4">COUNTIF(C3:C52,57)</f>
        <v>42</v>
      </c>
      <c r="D59" s="93">
        <f t="shared" si="4"/>
        <v>49</v>
      </c>
      <c r="E59" s="23">
        <f t="shared" si="4"/>
        <v>14</v>
      </c>
      <c r="F59" s="93">
        <f t="shared" si="4"/>
        <v>42</v>
      </c>
      <c r="G59" s="93">
        <f t="shared" si="4"/>
        <v>42</v>
      </c>
      <c r="H59" s="93">
        <f t="shared" si="4"/>
        <v>47</v>
      </c>
      <c r="I59" s="93">
        <f t="shared" si="4"/>
        <v>36</v>
      </c>
      <c r="J59" s="23">
        <f t="shared" si="4"/>
        <v>33</v>
      </c>
    </row>
    <row r="60" spans="1:10" s="27" customFormat="1" x14ac:dyDescent="0.25">
      <c r="A60" s="88">
        <v>58</v>
      </c>
      <c r="B60" s="23">
        <f>COUNTIF(B3:B52,58)</f>
        <v>0</v>
      </c>
      <c r="C60" s="23">
        <f t="shared" ref="C60:J60" si="5">COUNTIF(C3:C52,58)</f>
        <v>0</v>
      </c>
      <c r="D60" s="23">
        <f t="shared" si="5"/>
        <v>0</v>
      </c>
      <c r="E60" s="23">
        <f t="shared" si="5"/>
        <v>0</v>
      </c>
      <c r="F60" s="23">
        <f t="shared" si="5"/>
        <v>0</v>
      </c>
      <c r="G60" s="23">
        <f t="shared" si="5"/>
        <v>0</v>
      </c>
      <c r="H60" s="23">
        <f t="shared" si="5"/>
        <v>0</v>
      </c>
      <c r="I60" s="23">
        <f t="shared" si="5"/>
        <v>0</v>
      </c>
      <c r="J60" s="23">
        <f t="shared" si="5"/>
        <v>0</v>
      </c>
    </row>
    <row r="61" spans="1:10" s="27" customFormat="1" x14ac:dyDescent="0.25">
      <c r="A61" s="88">
        <v>59</v>
      </c>
      <c r="B61" s="23">
        <f>COUNTIF(B3:B52,59)</f>
        <v>0</v>
      </c>
      <c r="C61" s="23">
        <f t="shared" ref="C61:J61" si="6">COUNTIF(C3:C52,59)</f>
        <v>0</v>
      </c>
      <c r="D61" s="23">
        <f t="shared" si="6"/>
        <v>0</v>
      </c>
      <c r="E61" s="23">
        <f t="shared" si="6"/>
        <v>0</v>
      </c>
      <c r="F61" s="23">
        <f t="shared" si="6"/>
        <v>0</v>
      </c>
      <c r="G61" s="23">
        <f t="shared" si="6"/>
        <v>0</v>
      </c>
      <c r="H61" s="23">
        <f t="shared" si="6"/>
        <v>0</v>
      </c>
      <c r="I61" s="23">
        <f t="shared" si="6"/>
        <v>0</v>
      </c>
      <c r="J61" s="23">
        <f t="shared" si="6"/>
        <v>0</v>
      </c>
    </row>
    <row r="62" spans="1:10" s="25" customFormat="1" x14ac:dyDescent="0.25">
      <c r="A62" s="22">
        <v>60</v>
      </c>
      <c r="B62" s="23">
        <f>COUNTIF(B3:B52,60)</f>
        <v>11</v>
      </c>
      <c r="C62" s="23">
        <f t="shared" ref="C62:J62" si="7">COUNTIF(C3:C52,60)</f>
        <v>0</v>
      </c>
      <c r="D62" s="23">
        <f t="shared" si="7"/>
        <v>1</v>
      </c>
      <c r="E62" s="23">
        <f t="shared" si="7"/>
        <v>19</v>
      </c>
      <c r="F62" s="23">
        <f t="shared" si="7"/>
        <v>2</v>
      </c>
      <c r="G62" s="23">
        <f t="shared" si="7"/>
        <v>2</v>
      </c>
      <c r="H62" s="23">
        <f t="shared" si="7"/>
        <v>3</v>
      </c>
      <c r="I62" s="23">
        <f t="shared" si="7"/>
        <v>6</v>
      </c>
      <c r="J62" s="23">
        <f t="shared" si="7"/>
        <v>14</v>
      </c>
    </row>
    <row r="63" spans="1:10" s="25" customFormat="1" x14ac:dyDescent="0.25">
      <c r="A63" s="22">
        <v>61</v>
      </c>
      <c r="B63" s="23">
        <f>COUNTIF(B3:B52,61)</f>
        <v>0</v>
      </c>
      <c r="C63" s="23">
        <f t="shared" ref="C63:J63" si="8">COUNTIF(C3:C52,61)</f>
        <v>0</v>
      </c>
      <c r="D63" s="23">
        <f t="shared" si="8"/>
        <v>0</v>
      </c>
      <c r="E63" s="23">
        <f t="shared" si="8"/>
        <v>5</v>
      </c>
      <c r="F63" s="23">
        <f t="shared" si="8"/>
        <v>0</v>
      </c>
      <c r="G63" s="23">
        <f t="shared" si="8"/>
        <v>0</v>
      </c>
      <c r="H63" s="23">
        <f t="shared" si="8"/>
        <v>0</v>
      </c>
      <c r="I63" s="23">
        <f t="shared" si="8"/>
        <v>0</v>
      </c>
      <c r="J63" s="23">
        <f t="shared" si="8"/>
        <v>1</v>
      </c>
    </row>
    <row r="64" spans="1:10" s="25" customFormat="1" x14ac:dyDescent="0.25">
      <c r="A64" s="22">
        <v>62</v>
      </c>
      <c r="B64" s="23">
        <f>COUNTIF(B3:B52,62)</f>
        <v>0</v>
      </c>
      <c r="C64" s="23">
        <f t="shared" ref="C64:J64" si="9">COUNTIF(C3:C52,62)</f>
        <v>0</v>
      </c>
      <c r="D64" s="23">
        <f t="shared" si="9"/>
        <v>0</v>
      </c>
      <c r="E64" s="23">
        <f t="shared" si="9"/>
        <v>6</v>
      </c>
      <c r="F64" s="23">
        <f t="shared" si="9"/>
        <v>0</v>
      </c>
      <c r="G64" s="23">
        <f t="shared" si="9"/>
        <v>0</v>
      </c>
      <c r="H64" s="23">
        <f t="shared" si="9"/>
        <v>0</v>
      </c>
      <c r="I64" s="23">
        <f t="shared" si="9"/>
        <v>0</v>
      </c>
      <c r="J64" s="23">
        <f t="shared" si="9"/>
        <v>0</v>
      </c>
    </row>
    <row r="65" spans="1:11" s="25" customFormat="1" x14ac:dyDescent="0.25">
      <c r="A65" s="22">
        <v>63</v>
      </c>
      <c r="B65" s="23">
        <f>COUNTIF(B3:B52,63)</f>
        <v>0</v>
      </c>
      <c r="C65" s="23">
        <f t="shared" ref="C65:J65" si="10">COUNTIF(C3:C52,63)</f>
        <v>0</v>
      </c>
      <c r="D65" s="23">
        <f t="shared" si="10"/>
        <v>0</v>
      </c>
      <c r="E65" s="23">
        <f t="shared" si="10"/>
        <v>6</v>
      </c>
      <c r="F65" s="23">
        <f t="shared" si="10"/>
        <v>0</v>
      </c>
      <c r="G65" s="23">
        <f t="shared" si="10"/>
        <v>0</v>
      </c>
      <c r="H65" s="23">
        <f t="shared" si="10"/>
        <v>0</v>
      </c>
      <c r="I65" s="23">
        <f t="shared" si="10"/>
        <v>0</v>
      </c>
      <c r="J65" s="23">
        <f t="shared" si="10"/>
        <v>1</v>
      </c>
    </row>
    <row r="66" spans="1:11" x14ac:dyDescent="0.25">
      <c r="A66" s="60"/>
      <c r="B66" s="89">
        <f>SUM(B56:B65)</f>
        <v>50</v>
      </c>
      <c r="C66" s="89">
        <f t="shared" ref="C66:J66" si="11">SUM(C56:C65)</f>
        <v>50</v>
      </c>
      <c r="D66" s="89">
        <f t="shared" si="11"/>
        <v>50</v>
      </c>
      <c r="E66" s="89">
        <f t="shared" si="11"/>
        <v>50</v>
      </c>
      <c r="F66" s="89">
        <f t="shared" si="11"/>
        <v>50</v>
      </c>
      <c r="G66" s="89">
        <f t="shared" si="11"/>
        <v>50</v>
      </c>
      <c r="H66" s="89">
        <f t="shared" si="11"/>
        <v>50</v>
      </c>
      <c r="I66" s="89">
        <f t="shared" si="11"/>
        <v>50</v>
      </c>
      <c r="J66" s="89">
        <f t="shared" si="11"/>
        <v>50</v>
      </c>
    </row>
    <row r="67" spans="1:11" x14ac:dyDescent="0.25">
      <c r="A67" s="52"/>
    </row>
    <row r="68" spans="1:11" s="25" customFormat="1" x14ac:dyDescent="0.25">
      <c r="A68" s="87" t="s">
        <v>96</v>
      </c>
      <c r="B68" s="94">
        <f>SUM(B56:B61)</f>
        <v>39</v>
      </c>
      <c r="C68" s="94">
        <f t="shared" ref="C68:J68" si="12">SUM(C56:C61)</f>
        <v>50</v>
      </c>
      <c r="D68" s="94">
        <f t="shared" si="12"/>
        <v>49</v>
      </c>
      <c r="E68" s="24">
        <f t="shared" si="12"/>
        <v>14</v>
      </c>
      <c r="F68" s="94">
        <f t="shared" si="12"/>
        <v>48</v>
      </c>
      <c r="G68" s="94">
        <f t="shared" si="12"/>
        <v>48</v>
      </c>
      <c r="H68" s="94">
        <f t="shared" si="12"/>
        <v>47</v>
      </c>
      <c r="I68" s="94">
        <f t="shared" si="12"/>
        <v>44</v>
      </c>
      <c r="J68" s="94">
        <f t="shared" si="12"/>
        <v>34</v>
      </c>
      <c r="K68" s="93" t="s">
        <v>102</v>
      </c>
    </row>
    <row r="69" spans="1:11" x14ac:dyDescent="0.25">
      <c r="A69" s="92" t="s">
        <v>97</v>
      </c>
      <c r="B69" s="24">
        <f>SUM(B62:B65)</f>
        <v>11</v>
      </c>
      <c r="C69" s="24">
        <f t="shared" ref="C69:J69" si="13">SUM(C62:C65)</f>
        <v>0</v>
      </c>
      <c r="D69" s="24">
        <f t="shared" si="13"/>
        <v>1</v>
      </c>
      <c r="E69" s="91">
        <f t="shared" si="13"/>
        <v>36</v>
      </c>
      <c r="F69" s="24">
        <f t="shared" si="13"/>
        <v>2</v>
      </c>
      <c r="G69" s="24">
        <f t="shared" si="13"/>
        <v>2</v>
      </c>
      <c r="H69" s="24">
        <f t="shared" si="13"/>
        <v>3</v>
      </c>
      <c r="I69" s="24">
        <f t="shared" si="13"/>
        <v>6</v>
      </c>
      <c r="J69" s="24">
        <f t="shared" si="13"/>
        <v>16</v>
      </c>
      <c r="K69" s="92" t="s">
        <v>99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activeCell="B1" sqref="B1:J1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77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68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1">
        <v>71</v>
      </c>
      <c r="C3" s="65">
        <v>71</v>
      </c>
      <c r="D3" s="62">
        <v>71</v>
      </c>
      <c r="E3" s="40">
        <v>75</v>
      </c>
      <c r="F3" s="41">
        <v>73</v>
      </c>
      <c r="G3" s="65">
        <v>73</v>
      </c>
      <c r="H3" s="65">
        <v>71</v>
      </c>
      <c r="I3" s="80">
        <v>71</v>
      </c>
      <c r="J3" s="47">
        <v>73</v>
      </c>
      <c r="L3" s="47">
        <f>MIN(B3:J52)</f>
        <v>50</v>
      </c>
      <c r="M3" s="47">
        <f>MAX(B3:J52)</f>
        <v>75</v>
      </c>
    </row>
    <row r="4" spans="1:13" x14ac:dyDescent="0.25">
      <c r="A4" s="15">
        <v>2</v>
      </c>
      <c r="B4" s="45">
        <v>71</v>
      </c>
      <c r="C4" s="44">
        <v>73</v>
      </c>
      <c r="D4" s="63">
        <v>73</v>
      </c>
      <c r="E4" s="45">
        <v>75</v>
      </c>
      <c r="F4" s="45">
        <v>73</v>
      </c>
      <c r="G4" s="65">
        <v>73</v>
      </c>
      <c r="H4" s="44">
        <v>73</v>
      </c>
      <c r="I4" s="82">
        <v>71</v>
      </c>
      <c r="J4" s="47">
        <v>69</v>
      </c>
    </row>
    <row r="5" spans="1:13" x14ac:dyDescent="0.25">
      <c r="A5" s="15">
        <v>3</v>
      </c>
      <c r="B5" s="45">
        <v>71</v>
      </c>
      <c r="C5" s="44">
        <v>71</v>
      </c>
      <c r="D5" s="63">
        <v>71</v>
      </c>
      <c r="E5" s="45">
        <v>71</v>
      </c>
      <c r="F5" s="45">
        <v>73</v>
      </c>
      <c r="G5" s="65">
        <v>73</v>
      </c>
      <c r="H5" s="44">
        <v>73</v>
      </c>
      <c r="I5" s="82">
        <v>71</v>
      </c>
      <c r="J5" s="47">
        <v>71</v>
      </c>
    </row>
    <row r="6" spans="1:13" x14ac:dyDescent="0.25">
      <c r="A6" s="15">
        <v>4</v>
      </c>
      <c r="B6" s="45">
        <v>71</v>
      </c>
      <c r="C6" s="44">
        <v>71</v>
      </c>
      <c r="D6" s="63">
        <v>71</v>
      </c>
      <c r="E6" s="45">
        <v>73</v>
      </c>
      <c r="F6" s="45">
        <v>73</v>
      </c>
      <c r="G6" s="65">
        <v>73</v>
      </c>
      <c r="H6" s="44">
        <v>73</v>
      </c>
      <c r="I6" s="82">
        <v>71</v>
      </c>
      <c r="J6" s="47">
        <v>69</v>
      </c>
    </row>
    <row r="7" spans="1:13" x14ac:dyDescent="0.25">
      <c r="A7" s="15">
        <v>5</v>
      </c>
      <c r="B7" s="45">
        <v>73</v>
      </c>
      <c r="C7" s="44">
        <v>73</v>
      </c>
      <c r="D7" s="63">
        <v>73</v>
      </c>
      <c r="E7" s="44">
        <v>73</v>
      </c>
      <c r="F7" s="45">
        <v>73</v>
      </c>
      <c r="G7" s="65">
        <v>73</v>
      </c>
      <c r="H7" s="44">
        <v>73</v>
      </c>
      <c r="I7" s="82">
        <v>73</v>
      </c>
      <c r="J7" s="47">
        <v>71</v>
      </c>
    </row>
    <row r="8" spans="1:13" x14ac:dyDescent="0.25">
      <c r="A8" s="15">
        <v>6</v>
      </c>
      <c r="B8" s="44">
        <v>73</v>
      </c>
      <c r="C8" s="45">
        <v>71</v>
      </c>
      <c r="D8" s="44">
        <v>73</v>
      </c>
      <c r="E8" s="66">
        <v>73</v>
      </c>
      <c r="F8" s="45">
        <v>71</v>
      </c>
      <c r="G8" s="65">
        <v>73</v>
      </c>
      <c r="H8" s="44">
        <v>71</v>
      </c>
      <c r="I8" s="82">
        <v>73</v>
      </c>
      <c r="J8" s="47">
        <v>73</v>
      </c>
    </row>
    <row r="9" spans="1:13" x14ac:dyDescent="0.25">
      <c r="A9" s="15">
        <v>7</v>
      </c>
      <c r="B9" s="44">
        <v>71</v>
      </c>
      <c r="C9" s="45">
        <v>71</v>
      </c>
      <c r="D9" s="44">
        <v>73</v>
      </c>
      <c r="E9" s="63">
        <v>75</v>
      </c>
      <c r="F9" s="45">
        <v>73</v>
      </c>
      <c r="G9" s="65">
        <v>73</v>
      </c>
      <c r="H9" s="44">
        <v>73</v>
      </c>
      <c r="I9" s="82">
        <v>73</v>
      </c>
      <c r="J9" s="47">
        <v>73</v>
      </c>
    </row>
    <row r="10" spans="1:13" x14ac:dyDescent="0.25">
      <c r="A10" s="15">
        <v>8</v>
      </c>
      <c r="B10" s="44">
        <v>71</v>
      </c>
      <c r="C10" s="45">
        <v>71</v>
      </c>
      <c r="D10" s="44">
        <v>73</v>
      </c>
      <c r="E10" s="63">
        <v>71</v>
      </c>
      <c r="F10" s="44">
        <v>73</v>
      </c>
      <c r="G10" s="65">
        <v>73</v>
      </c>
      <c r="H10" s="44">
        <v>73</v>
      </c>
      <c r="I10" s="82">
        <v>71</v>
      </c>
      <c r="J10" s="47">
        <v>71</v>
      </c>
    </row>
    <row r="11" spans="1:13" x14ac:dyDescent="0.25">
      <c r="A11" s="15">
        <v>9</v>
      </c>
      <c r="B11" s="44">
        <v>73</v>
      </c>
      <c r="C11" s="45">
        <v>71</v>
      </c>
      <c r="D11" s="44">
        <v>73</v>
      </c>
      <c r="E11" s="63">
        <v>71</v>
      </c>
      <c r="F11" s="44">
        <v>73</v>
      </c>
      <c r="G11" s="65">
        <v>73</v>
      </c>
      <c r="H11" s="44">
        <v>71</v>
      </c>
      <c r="I11" s="82">
        <v>71</v>
      </c>
      <c r="J11" s="47">
        <v>73</v>
      </c>
    </row>
    <row r="12" spans="1:13" ht="15.75" thickBot="1" x14ac:dyDescent="0.3">
      <c r="A12" s="17">
        <v>10</v>
      </c>
      <c r="B12" s="48">
        <v>73</v>
      </c>
      <c r="C12" s="49">
        <v>71</v>
      </c>
      <c r="D12" s="48">
        <v>73</v>
      </c>
      <c r="E12" s="64">
        <v>73</v>
      </c>
      <c r="F12" s="48">
        <v>71</v>
      </c>
      <c r="G12" s="65">
        <v>73</v>
      </c>
      <c r="H12" s="48">
        <v>73</v>
      </c>
      <c r="I12" s="83">
        <v>71</v>
      </c>
      <c r="J12" s="47">
        <v>71</v>
      </c>
    </row>
    <row r="13" spans="1:13" x14ac:dyDescent="0.25">
      <c r="A13" s="12">
        <v>11</v>
      </c>
      <c r="B13" s="65">
        <v>73</v>
      </c>
      <c r="C13" s="65">
        <v>71</v>
      </c>
      <c r="D13" s="65">
        <v>74</v>
      </c>
      <c r="E13" s="40">
        <v>73</v>
      </c>
      <c r="F13" s="65">
        <v>73</v>
      </c>
      <c r="G13" s="40">
        <v>73</v>
      </c>
      <c r="H13" s="65">
        <v>73</v>
      </c>
      <c r="I13" s="51">
        <v>71</v>
      </c>
      <c r="J13" s="47">
        <v>73</v>
      </c>
    </row>
    <row r="14" spans="1:13" x14ac:dyDescent="0.25">
      <c r="A14" s="15">
        <v>12</v>
      </c>
      <c r="B14" s="44">
        <v>69</v>
      </c>
      <c r="C14" s="44">
        <v>71</v>
      </c>
      <c r="D14" s="44">
        <v>71</v>
      </c>
      <c r="E14" s="44">
        <v>73</v>
      </c>
      <c r="F14" s="44">
        <v>71</v>
      </c>
      <c r="G14" s="44">
        <v>71</v>
      </c>
      <c r="H14" s="65">
        <v>73</v>
      </c>
      <c r="I14" s="46">
        <v>71</v>
      </c>
      <c r="J14" s="47">
        <v>73</v>
      </c>
    </row>
    <row r="15" spans="1:13" x14ac:dyDescent="0.25">
      <c r="A15" s="15">
        <v>13</v>
      </c>
      <c r="B15" s="44">
        <v>73</v>
      </c>
      <c r="C15" s="44">
        <v>71</v>
      </c>
      <c r="D15" s="44">
        <v>73</v>
      </c>
      <c r="E15" s="44">
        <v>71</v>
      </c>
      <c r="F15" s="44">
        <v>73</v>
      </c>
      <c r="G15" s="44">
        <v>71</v>
      </c>
      <c r="H15" s="65">
        <v>73</v>
      </c>
      <c r="I15" s="81">
        <v>71</v>
      </c>
      <c r="J15" s="47">
        <v>73</v>
      </c>
    </row>
    <row r="16" spans="1:13" x14ac:dyDescent="0.25">
      <c r="A16" s="15">
        <v>14</v>
      </c>
      <c r="B16" s="44">
        <v>73</v>
      </c>
      <c r="C16" s="44">
        <v>71</v>
      </c>
      <c r="D16" s="44">
        <v>73</v>
      </c>
      <c r="E16" s="44">
        <v>73</v>
      </c>
      <c r="F16" s="44">
        <v>73</v>
      </c>
      <c r="G16" s="44">
        <v>71</v>
      </c>
      <c r="H16" s="65">
        <v>73</v>
      </c>
      <c r="I16" s="82">
        <v>73</v>
      </c>
      <c r="J16" s="47">
        <v>73</v>
      </c>
    </row>
    <row r="17" spans="1:10" x14ac:dyDescent="0.25">
      <c r="A17" s="15">
        <v>15</v>
      </c>
      <c r="B17" s="44">
        <v>71</v>
      </c>
      <c r="C17" s="44">
        <v>71</v>
      </c>
      <c r="D17" s="44">
        <v>73</v>
      </c>
      <c r="E17" s="44">
        <v>71</v>
      </c>
      <c r="F17" s="44">
        <v>71</v>
      </c>
      <c r="G17" s="44">
        <v>73</v>
      </c>
      <c r="H17" s="65">
        <v>73</v>
      </c>
      <c r="I17" s="82">
        <v>73</v>
      </c>
      <c r="J17" s="47">
        <v>73</v>
      </c>
    </row>
    <row r="18" spans="1:10" x14ac:dyDescent="0.25">
      <c r="A18" s="15">
        <v>16</v>
      </c>
      <c r="B18" s="44">
        <v>69</v>
      </c>
      <c r="C18" s="44">
        <v>71</v>
      </c>
      <c r="D18" s="44">
        <v>73</v>
      </c>
      <c r="E18" s="44">
        <v>75</v>
      </c>
      <c r="F18" s="44">
        <v>73</v>
      </c>
      <c r="G18" s="44">
        <v>71</v>
      </c>
      <c r="H18" s="65">
        <v>73</v>
      </c>
      <c r="I18" s="82">
        <v>71</v>
      </c>
      <c r="J18" s="47">
        <v>73</v>
      </c>
    </row>
    <row r="19" spans="1:10" x14ac:dyDescent="0.25">
      <c r="A19" s="15">
        <v>17</v>
      </c>
      <c r="B19" s="44">
        <v>69</v>
      </c>
      <c r="C19" s="44">
        <v>71</v>
      </c>
      <c r="D19" s="44">
        <v>50</v>
      </c>
      <c r="E19" s="44">
        <v>75</v>
      </c>
      <c r="F19" s="44">
        <v>71</v>
      </c>
      <c r="G19" s="44">
        <v>73</v>
      </c>
      <c r="H19" s="65">
        <v>73</v>
      </c>
      <c r="I19" s="82">
        <v>71</v>
      </c>
      <c r="J19" s="47">
        <v>71</v>
      </c>
    </row>
    <row r="20" spans="1:10" x14ac:dyDescent="0.25">
      <c r="A20" s="15">
        <v>18</v>
      </c>
      <c r="B20" s="44">
        <v>69</v>
      </c>
      <c r="C20" s="44">
        <v>71</v>
      </c>
      <c r="D20" s="44">
        <v>50</v>
      </c>
      <c r="E20" s="44">
        <v>73</v>
      </c>
      <c r="F20" s="44">
        <v>75</v>
      </c>
      <c r="G20" s="44">
        <v>73</v>
      </c>
      <c r="H20" s="65">
        <v>73</v>
      </c>
      <c r="I20" s="82">
        <v>71</v>
      </c>
      <c r="J20" s="47">
        <v>71</v>
      </c>
    </row>
    <row r="21" spans="1:10" x14ac:dyDescent="0.25">
      <c r="A21" s="15">
        <v>19</v>
      </c>
      <c r="B21" s="44">
        <v>71</v>
      </c>
      <c r="C21" s="44">
        <v>71</v>
      </c>
      <c r="D21" s="44">
        <v>73</v>
      </c>
      <c r="E21" s="44">
        <v>73</v>
      </c>
      <c r="F21" s="44">
        <v>75</v>
      </c>
      <c r="G21" s="44">
        <v>73</v>
      </c>
      <c r="H21" s="65">
        <v>73</v>
      </c>
      <c r="I21" s="82">
        <v>71</v>
      </c>
      <c r="J21" s="47">
        <v>73</v>
      </c>
    </row>
    <row r="22" spans="1:10" ht="15.75" thickBot="1" x14ac:dyDescent="0.3">
      <c r="A22" s="17">
        <v>20</v>
      </c>
      <c r="B22" s="48">
        <v>71</v>
      </c>
      <c r="C22" s="48">
        <v>71</v>
      </c>
      <c r="D22" s="48">
        <v>73</v>
      </c>
      <c r="E22" s="48">
        <v>71</v>
      </c>
      <c r="F22" s="48">
        <v>73</v>
      </c>
      <c r="G22" s="44">
        <v>73</v>
      </c>
      <c r="H22" s="48">
        <v>73</v>
      </c>
      <c r="I22" s="83">
        <v>71</v>
      </c>
      <c r="J22" s="47">
        <v>71</v>
      </c>
    </row>
    <row r="23" spans="1:10" x14ac:dyDescent="0.25">
      <c r="A23" s="12">
        <v>21</v>
      </c>
      <c r="B23" s="65">
        <v>73</v>
      </c>
      <c r="C23" s="65">
        <v>69</v>
      </c>
      <c r="D23" s="65">
        <v>73</v>
      </c>
      <c r="E23" s="40">
        <v>73</v>
      </c>
      <c r="F23" s="65">
        <v>73</v>
      </c>
      <c r="G23" s="40">
        <v>71</v>
      </c>
      <c r="H23" s="65">
        <v>71</v>
      </c>
      <c r="I23" s="71">
        <v>73</v>
      </c>
      <c r="J23" s="43">
        <v>71</v>
      </c>
    </row>
    <row r="24" spans="1:10" x14ac:dyDescent="0.25">
      <c r="A24" s="15">
        <v>22</v>
      </c>
      <c r="B24" s="44">
        <v>73</v>
      </c>
      <c r="C24" s="44">
        <v>71</v>
      </c>
      <c r="D24" s="65">
        <v>73</v>
      </c>
      <c r="E24" s="44">
        <v>75</v>
      </c>
      <c r="F24" s="44">
        <v>71</v>
      </c>
      <c r="G24" s="44">
        <v>73</v>
      </c>
      <c r="H24" s="44">
        <v>73</v>
      </c>
      <c r="I24" s="71">
        <v>71</v>
      </c>
      <c r="J24" s="43">
        <v>69</v>
      </c>
    </row>
    <row r="25" spans="1:10" x14ac:dyDescent="0.25">
      <c r="A25" s="15">
        <v>23</v>
      </c>
      <c r="B25" s="44">
        <v>73</v>
      </c>
      <c r="C25" s="44">
        <v>71</v>
      </c>
      <c r="D25" s="65">
        <v>73</v>
      </c>
      <c r="E25" s="44">
        <v>73</v>
      </c>
      <c r="F25" s="44">
        <v>73</v>
      </c>
      <c r="G25" s="44">
        <v>73</v>
      </c>
      <c r="H25" s="44">
        <v>73</v>
      </c>
      <c r="I25" s="71">
        <v>69</v>
      </c>
      <c r="J25" s="43">
        <v>71</v>
      </c>
    </row>
    <row r="26" spans="1:10" x14ac:dyDescent="0.25">
      <c r="A26" s="15">
        <v>24</v>
      </c>
      <c r="B26" s="44">
        <v>73</v>
      </c>
      <c r="C26" s="44">
        <v>71</v>
      </c>
      <c r="D26" s="65">
        <v>73</v>
      </c>
      <c r="E26" s="44">
        <v>73</v>
      </c>
      <c r="F26" s="44">
        <v>73</v>
      </c>
      <c r="G26" s="44">
        <v>73</v>
      </c>
      <c r="H26" s="44">
        <v>71</v>
      </c>
      <c r="I26" s="71">
        <v>71</v>
      </c>
      <c r="J26" s="43">
        <v>71</v>
      </c>
    </row>
    <row r="27" spans="1:10" x14ac:dyDescent="0.25">
      <c r="A27" s="15">
        <v>25</v>
      </c>
      <c r="B27" s="44">
        <v>71</v>
      </c>
      <c r="C27" s="44">
        <v>71</v>
      </c>
      <c r="D27" s="65">
        <v>73</v>
      </c>
      <c r="E27" s="44">
        <v>75</v>
      </c>
      <c r="F27" s="44">
        <v>73</v>
      </c>
      <c r="G27" s="44">
        <v>73</v>
      </c>
      <c r="H27" s="44">
        <v>73</v>
      </c>
      <c r="I27" s="71">
        <v>71</v>
      </c>
      <c r="J27" s="43">
        <v>73</v>
      </c>
    </row>
    <row r="28" spans="1:10" x14ac:dyDescent="0.25">
      <c r="A28" s="15">
        <v>26</v>
      </c>
      <c r="B28" s="44">
        <v>71</v>
      </c>
      <c r="C28" s="44">
        <v>71</v>
      </c>
      <c r="D28" s="65">
        <v>73</v>
      </c>
      <c r="E28" s="44">
        <v>75</v>
      </c>
      <c r="F28" s="44">
        <v>71</v>
      </c>
      <c r="G28" s="44">
        <v>73</v>
      </c>
      <c r="H28" s="44">
        <v>73</v>
      </c>
      <c r="I28" s="46">
        <v>73</v>
      </c>
      <c r="J28" s="43">
        <v>73</v>
      </c>
    </row>
    <row r="29" spans="1:10" x14ac:dyDescent="0.25">
      <c r="A29" s="15">
        <v>27</v>
      </c>
      <c r="B29" s="44">
        <v>73</v>
      </c>
      <c r="C29" s="44">
        <v>71</v>
      </c>
      <c r="D29" s="65">
        <v>73</v>
      </c>
      <c r="E29" s="44">
        <v>73</v>
      </c>
      <c r="F29" s="44">
        <v>73</v>
      </c>
      <c r="G29" s="44">
        <v>71</v>
      </c>
      <c r="H29" s="44">
        <v>73</v>
      </c>
      <c r="I29" s="46">
        <v>73</v>
      </c>
      <c r="J29" s="43">
        <v>73</v>
      </c>
    </row>
    <row r="30" spans="1:10" x14ac:dyDescent="0.25">
      <c r="A30" s="15">
        <v>28</v>
      </c>
      <c r="B30" s="44">
        <v>71</v>
      </c>
      <c r="C30" s="44">
        <v>71</v>
      </c>
      <c r="D30" s="65">
        <v>71</v>
      </c>
      <c r="E30" s="44">
        <v>71</v>
      </c>
      <c r="F30" s="44">
        <v>73</v>
      </c>
      <c r="G30" s="44">
        <v>73</v>
      </c>
      <c r="H30" s="44">
        <v>73</v>
      </c>
      <c r="I30" s="46">
        <v>71</v>
      </c>
      <c r="J30" s="43">
        <v>69</v>
      </c>
    </row>
    <row r="31" spans="1:10" x14ac:dyDescent="0.25">
      <c r="A31" s="15">
        <v>29</v>
      </c>
      <c r="B31" s="44">
        <v>73</v>
      </c>
      <c r="C31" s="44">
        <v>71</v>
      </c>
      <c r="D31" s="65">
        <v>73</v>
      </c>
      <c r="E31" s="44">
        <v>73</v>
      </c>
      <c r="F31" s="44">
        <v>74</v>
      </c>
      <c r="G31" s="44">
        <v>73</v>
      </c>
      <c r="H31" s="44">
        <v>73</v>
      </c>
      <c r="I31" s="46">
        <v>73</v>
      </c>
      <c r="J31" s="43">
        <v>73</v>
      </c>
    </row>
    <row r="32" spans="1:10" ht="15.75" thickBot="1" x14ac:dyDescent="0.3">
      <c r="A32" s="17">
        <v>30</v>
      </c>
      <c r="B32" s="48">
        <v>71</v>
      </c>
      <c r="C32" s="48">
        <v>71</v>
      </c>
      <c r="D32" s="48">
        <v>73</v>
      </c>
      <c r="E32" s="44">
        <v>73</v>
      </c>
      <c r="F32" s="48">
        <v>74</v>
      </c>
      <c r="G32" s="44">
        <v>73</v>
      </c>
      <c r="H32" s="48">
        <v>73</v>
      </c>
      <c r="I32" s="50">
        <v>71</v>
      </c>
      <c r="J32" s="43">
        <v>73</v>
      </c>
    </row>
    <row r="33" spans="1:10" x14ac:dyDescent="0.25">
      <c r="A33" s="12">
        <v>31</v>
      </c>
      <c r="B33" s="65">
        <v>71</v>
      </c>
      <c r="C33" s="65">
        <v>71</v>
      </c>
      <c r="D33" s="65">
        <v>73</v>
      </c>
      <c r="E33" s="40">
        <v>73</v>
      </c>
      <c r="F33" s="65">
        <v>74</v>
      </c>
      <c r="G33" s="40">
        <v>73</v>
      </c>
      <c r="H33" s="65">
        <v>73</v>
      </c>
      <c r="I33" s="42">
        <v>73</v>
      </c>
      <c r="J33" s="43">
        <v>73</v>
      </c>
    </row>
    <row r="34" spans="1:10" x14ac:dyDescent="0.25">
      <c r="A34" s="15">
        <v>32</v>
      </c>
      <c r="B34" s="44">
        <v>73</v>
      </c>
      <c r="C34" s="44">
        <v>71</v>
      </c>
      <c r="D34" s="65">
        <v>71</v>
      </c>
      <c r="E34" s="44">
        <v>73</v>
      </c>
      <c r="F34" s="44">
        <v>73</v>
      </c>
      <c r="G34" s="44">
        <v>71</v>
      </c>
      <c r="H34" s="44">
        <v>74</v>
      </c>
      <c r="I34" s="46">
        <v>73</v>
      </c>
      <c r="J34" s="43">
        <v>69</v>
      </c>
    </row>
    <row r="35" spans="1:10" x14ac:dyDescent="0.25">
      <c r="A35" s="15">
        <v>33</v>
      </c>
      <c r="B35" s="44">
        <v>73</v>
      </c>
      <c r="C35" s="44">
        <v>71</v>
      </c>
      <c r="D35" s="65">
        <v>73</v>
      </c>
      <c r="E35" s="44">
        <v>73</v>
      </c>
      <c r="F35" s="44">
        <v>73</v>
      </c>
      <c r="G35" s="44">
        <v>71</v>
      </c>
      <c r="H35" s="44">
        <v>73</v>
      </c>
      <c r="I35" s="46">
        <v>73</v>
      </c>
      <c r="J35" s="43">
        <v>69</v>
      </c>
    </row>
    <row r="36" spans="1:10" x14ac:dyDescent="0.25">
      <c r="A36" s="15">
        <v>34</v>
      </c>
      <c r="B36" s="44">
        <v>73</v>
      </c>
      <c r="C36" s="44">
        <v>71</v>
      </c>
      <c r="D36" s="65">
        <v>73</v>
      </c>
      <c r="E36" s="44">
        <v>71</v>
      </c>
      <c r="F36" s="44">
        <v>73</v>
      </c>
      <c r="G36" s="44">
        <v>73</v>
      </c>
      <c r="H36" s="44">
        <v>71</v>
      </c>
      <c r="I36" s="46">
        <v>73</v>
      </c>
      <c r="J36" s="43">
        <v>71</v>
      </c>
    </row>
    <row r="37" spans="1:10" x14ac:dyDescent="0.25">
      <c r="A37" s="15">
        <v>35</v>
      </c>
      <c r="B37" s="44">
        <v>73</v>
      </c>
      <c r="C37" s="44">
        <v>71</v>
      </c>
      <c r="D37" s="65">
        <v>73</v>
      </c>
      <c r="E37" s="44">
        <v>73</v>
      </c>
      <c r="F37" s="44">
        <v>74</v>
      </c>
      <c r="G37" s="44">
        <v>73</v>
      </c>
      <c r="H37" s="44">
        <v>73</v>
      </c>
      <c r="I37" s="46">
        <v>73</v>
      </c>
      <c r="J37" s="43">
        <v>71</v>
      </c>
    </row>
    <row r="38" spans="1:10" x14ac:dyDescent="0.25">
      <c r="A38" s="15">
        <v>36</v>
      </c>
      <c r="B38" s="44">
        <v>73</v>
      </c>
      <c r="C38" s="44">
        <v>71</v>
      </c>
      <c r="D38" s="65">
        <v>75</v>
      </c>
      <c r="E38" s="44">
        <v>73</v>
      </c>
      <c r="F38" s="44">
        <v>73</v>
      </c>
      <c r="G38" s="44">
        <v>73</v>
      </c>
      <c r="H38" s="44">
        <v>73</v>
      </c>
      <c r="I38" s="46">
        <v>73</v>
      </c>
      <c r="J38" s="43">
        <v>71</v>
      </c>
    </row>
    <row r="39" spans="1:10" x14ac:dyDescent="0.25">
      <c r="A39" s="15">
        <v>37</v>
      </c>
      <c r="B39" s="44">
        <v>73</v>
      </c>
      <c r="C39" s="44">
        <v>69</v>
      </c>
      <c r="D39" s="65">
        <v>73</v>
      </c>
      <c r="E39" s="44">
        <v>73</v>
      </c>
      <c r="F39" s="44">
        <v>74</v>
      </c>
      <c r="G39" s="44">
        <v>73</v>
      </c>
      <c r="H39" s="44">
        <v>73</v>
      </c>
      <c r="I39" s="46">
        <v>71</v>
      </c>
      <c r="J39" s="43">
        <v>71</v>
      </c>
    </row>
    <row r="40" spans="1:10" x14ac:dyDescent="0.25">
      <c r="A40" s="15">
        <v>38</v>
      </c>
      <c r="B40" s="44">
        <v>73</v>
      </c>
      <c r="C40" s="44">
        <v>71</v>
      </c>
      <c r="D40" s="65">
        <v>73</v>
      </c>
      <c r="E40" s="44">
        <v>73</v>
      </c>
      <c r="F40" s="44">
        <v>73</v>
      </c>
      <c r="G40" s="44">
        <v>73</v>
      </c>
      <c r="H40" s="44">
        <v>71</v>
      </c>
      <c r="I40" s="46">
        <v>71</v>
      </c>
      <c r="J40" s="43">
        <v>71</v>
      </c>
    </row>
    <row r="41" spans="1:10" x14ac:dyDescent="0.25">
      <c r="A41" s="15">
        <v>39</v>
      </c>
      <c r="B41" s="44">
        <v>73</v>
      </c>
      <c r="C41" s="44">
        <v>71</v>
      </c>
      <c r="D41" s="65">
        <v>73</v>
      </c>
      <c r="E41" s="44">
        <v>73</v>
      </c>
      <c r="F41" s="44">
        <v>73</v>
      </c>
      <c r="G41" s="44">
        <v>73</v>
      </c>
      <c r="H41" s="44">
        <v>71</v>
      </c>
      <c r="I41" s="46">
        <v>73</v>
      </c>
      <c r="J41" s="43">
        <v>71</v>
      </c>
    </row>
    <row r="42" spans="1:10" ht="15.75" thickBot="1" x14ac:dyDescent="0.3">
      <c r="A42" s="17">
        <v>40</v>
      </c>
      <c r="B42" s="48">
        <v>73</v>
      </c>
      <c r="C42" s="48">
        <v>71</v>
      </c>
      <c r="D42" s="48">
        <v>73</v>
      </c>
      <c r="E42" s="48">
        <v>73</v>
      </c>
      <c r="F42" s="44">
        <v>71</v>
      </c>
      <c r="G42" s="48">
        <v>73</v>
      </c>
      <c r="H42" s="48">
        <v>73</v>
      </c>
      <c r="I42" s="50">
        <v>71</v>
      </c>
      <c r="J42" s="43">
        <v>69</v>
      </c>
    </row>
    <row r="43" spans="1:10" x14ac:dyDescent="0.25">
      <c r="A43" s="12">
        <v>41</v>
      </c>
      <c r="B43" s="40">
        <v>73</v>
      </c>
      <c r="C43" s="65">
        <v>71</v>
      </c>
      <c r="D43" s="65">
        <v>71</v>
      </c>
      <c r="E43" s="65">
        <v>75</v>
      </c>
      <c r="F43" s="40">
        <v>73</v>
      </c>
      <c r="G43" s="67">
        <v>73</v>
      </c>
      <c r="H43" s="65">
        <v>73</v>
      </c>
      <c r="I43" s="80">
        <v>69</v>
      </c>
      <c r="J43" s="47">
        <v>71</v>
      </c>
    </row>
    <row r="44" spans="1:10" x14ac:dyDescent="0.25">
      <c r="A44" s="15">
        <v>42</v>
      </c>
      <c r="B44" s="44">
        <v>69</v>
      </c>
      <c r="C44" s="44">
        <v>71</v>
      </c>
      <c r="D44" s="65">
        <v>73</v>
      </c>
      <c r="E44" s="44">
        <v>75</v>
      </c>
      <c r="F44" s="44">
        <v>73</v>
      </c>
      <c r="G44" s="67">
        <v>73</v>
      </c>
      <c r="H44" s="44">
        <v>74</v>
      </c>
      <c r="I44" s="81">
        <v>71</v>
      </c>
      <c r="J44" s="47">
        <v>71</v>
      </c>
    </row>
    <row r="45" spans="1:10" x14ac:dyDescent="0.25">
      <c r="A45" s="15">
        <v>43</v>
      </c>
      <c r="B45" s="44">
        <v>69</v>
      </c>
      <c r="C45" s="44">
        <v>71</v>
      </c>
      <c r="D45" s="65">
        <v>73</v>
      </c>
      <c r="E45" s="44">
        <v>73</v>
      </c>
      <c r="F45" s="44">
        <v>71</v>
      </c>
      <c r="G45" s="67">
        <v>71</v>
      </c>
      <c r="H45" s="44">
        <v>73</v>
      </c>
      <c r="I45" s="81">
        <v>71</v>
      </c>
      <c r="J45" s="47">
        <v>71</v>
      </c>
    </row>
    <row r="46" spans="1:10" x14ac:dyDescent="0.25">
      <c r="A46" s="15">
        <v>44</v>
      </c>
      <c r="B46" s="44">
        <v>69</v>
      </c>
      <c r="C46" s="44">
        <v>71</v>
      </c>
      <c r="D46" s="65">
        <v>73</v>
      </c>
      <c r="E46" s="44">
        <v>73</v>
      </c>
      <c r="F46" s="44">
        <v>73</v>
      </c>
      <c r="G46" s="67">
        <v>73</v>
      </c>
      <c r="H46" s="44">
        <v>73</v>
      </c>
      <c r="I46" s="81">
        <v>71</v>
      </c>
      <c r="J46" s="47">
        <v>71</v>
      </c>
    </row>
    <row r="47" spans="1:10" x14ac:dyDescent="0.25">
      <c r="A47" s="15">
        <v>45</v>
      </c>
      <c r="B47" s="44">
        <v>69</v>
      </c>
      <c r="C47" s="44">
        <v>71</v>
      </c>
      <c r="D47" s="65">
        <v>73</v>
      </c>
      <c r="E47" s="44">
        <v>73</v>
      </c>
      <c r="F47" s="44">
        <v>71</v>
      </c>
      <c r="G47" s="67">
        <v>73</v>
      </c>
      <c r="H47" s="44">
        <v>74</v>
      </c>
      <c r="I47" s="81">
        <v>71</v>
      </c>
      <c r="J47" s="47">
        <v>71</v>
      </c>
    </row>
    <row r="48" spans="1:10" x14ac:dyDescent="0.25">
      <c r="A48" s="15">
        <v>46</v>
      </c>
      <c r="B48" s="44">
        <v>69</v>
      </c>
      <c r="C48" s="44">
        <v>71</v>
      </c>
      <c r="D48" s="65">
        <v>73</v>
      </c>
      <c r="E48" s="44">
        <v>71</v>
      </c>
      <c r="F48" s="44">
        <v>74</v>
      </c>
      <c r="G48" s="67">
        <v>73</v>
      </c>
      <c r="H48" s="44">
        <v>73</v>
      </c>
      <c r="I48" s="81">
        <v>71</v>
      </c>
      <c r="J48" s="47">
        <v>71</v>
      </c>
    </row>
    <row r="49" spans="1:10" x14ac:dyDescent="0.25">
      <c r="A49" s="15">
        <v>47</v>
      </c>
      <c r="B49" s="44">
        <v>71</v>
      </c>
      <c r="C49" s="44">
        <v>69</v>
      </c>
      <c r="D49" s="65">
        <v>74</v>
      </c>
      <c r="E49" s="44">
        <v>75</v>
      </c>
      <c r="F49" s="44">
        <v>73</v>
      </c>
      <c r="G49" s="67">
        <v>73</v>
      </c>
      <c r="H49" s="44">
        <v>73</v>
      </c>
      <c r="I49" s="51">
        <v>71</v>
      </c>
      <c r="J49" s="47">
        <v>71</v>
      </c>
    </row>
    <row r="50" spans="1:10" x14ac:dyDescent="0.25">
      <c r="A50" s="15">
        <v>48</v>
      </c>
      <c r="B50" s="44">
        <v>73</v>
      </c>
      <c r="C50" s="44">
        <v>69</v>
      </c>
      <c r="D50" s="65">
        <v>73</v>
      </c>
      <c r="E50" s="44">
        <v>73</v>
      </c>
      <c r="F50" s="44">
        <v>71</v>
      </c>
      <c r="G50" s="67">
        <v>73</v>
      </c>
      <c r="H50" s="45">
        <v>73</v>
      </c>
      <c r="I50" s="46">
        <v>69</v>
      </c>
      <c r="J50" s="47">
        <v>71</v>
      </c>
    </row>
    <row r="51" spans="1:10" x14ac:dyDescent="0.25">
      <c r="A51" s="15">
        <v>49</v>
      </c>
      <c r="B51" s="44">
        <v>71</v>
      </c>
      <c r="C51" s="44">
        <v>69</v>
      </c>
      <c r="D51" s="65">
        <v>71</v>
      </c>
      <c r="E51" s="44">
        <v>73</v>
      </c>
      <c r="F51" s="44">
        <v>73</v>
      </c>
      <c r="G51" s="67">
        <v>71</v>
      </c>
      <c r="H51" s="44">
        <v>73</v>
      </c>
      <c r="I51" s="81">
        <v>71</v>
      </c>
      <c r="J51" s="43">
        <v>73</v>
      </c>
    </row>
    <row r="52" spans="1:10" ht="15.75" thickBot="1" x14ac:dyDescent="0.3">
      <c r="A52" s="17">
        <v>50</v>
      </c>
      <c r="B52" s="48">
        <v>71</v>
      </c>
      <c r="C52" s="48">
        <v>69</v>
      </c>
      <c r="D52" s="48">
        <v>73</v>
      </c>
      <c r="E52" s="48">
        <v>73</v>
      </c>
      <c r="F52" s="48">
        <v>73</v>
      </c>
      <c r="G52" s="48">
        <v>73</v>
      </c>
      <c r="H52" s="48">
        <v>73</v>
      </c>
      <c r="I52" s="50">
        <v>71</v>
      </c>
      <c r="J52" s="43">
        <v>71</v>
      </c>
    </row>
    <row r="53" spans="1:10" x14ac:dyDescent="0.25">
      <c r="A53" s="5"/>
    </row>
    <row r="54" spans="1:10" x14ac:dyDescent="0.25">
      <c r="A54" s="22" t="s">
        <v>52</v>
      </c>
      <c r="B54" s="23">
        <f t="shared" ref="B54:J54" si="0">AVERAGE(B3:B52)</f>
        <v>71.599999999999994</v>
      </c>
      <c r="C54" s="23">
        <f t="shared" si="0"/>
        <v>70.84</v>
      </c>
      <c r="D54" s="23">
        <f t="shared" si="0"/>
        <v>71.84</v>
      </c>
      <c r="E54" s="23">
        <f t="shared" si="0"/>
        <v>73.08</v>
      </c>
      <c r="F54" s="23">
        <f t="shared" si="0"/>
        <v>72.760000000000005</v>
      </c>
      <c r="G54" s="23">
        <f t="shared" si="0"/>
        <v>72.599999999999994</v>
      </c>
      <c r="H54" s="23">
        <f t="shared" si="0"/>
        <v>72.739999999999995</v>
      </c>
      <c r="I54" s="23">
        <f t="shared" si="0"/>
        <v>71.52</v>
      </c>
      <c r="J54" s="23">
        <f t="shared" si="0"/>
        <v>71.44</v>
      </c>
    </row>
    <row r="55" spans="1:10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0" s="27" customFormat="1" x14ac:dyDescent="0.25">
      <c r="A56" s="88">
        <v>50</v>
      </c>
      <c r="B56" s="23">
        <f>COUNTIF(B3:B52,50)</f>
        <v>0</v>
      </c>
      <c r="C56" s="23">
        <f t="shared" ref="C56:J56" si="1">COUNTIF(C3:C52,50)</f>
        <v>0</v>
      </c>
      <c r="D56" s="23">
        <f t="shared" si="1"/>
        <v>2</v>
      </c>
      <c r="E56" s="23">
        <f t="shared" si="1"/>
        <v>0</v>
      </c>
      <c r="F56" s="23">
        <f t="shared" si="1"/>
        <v>0</v>
      </c>
      <c r="G56" s="23">
        <f t="shared" si="1"/>
        <v>0</v>
      </c>
      <c r="H56" s="23">
        <f t="shared" si="1"/>
        <v>0</v>
      </c>
      <c r="I56" s="23">
        <f t="shared" si="1"/>
        <v>0</v>
      </c>
      <c r="J56" s="23">
        <f t="shared" si="1"/>
        <v>0</v>
      </c>
    </row>
    <row r="57" spans="1:10" s="27" customFormat="1" x14ac:dyDescent="0.25">
      <c r="A57" s="22">
        <v>69</v>
      </c>
      <c r="B57" s="23">
        <f>COUNTIF(B3:B52,69)</f>
        <v>9</v>
      </c>
      <c r="C57" s="23">
        <f t="shared" ref="C57:J57" si="2">COUNTIF(C3:C52,69)</f>
        <v>6</v>
      </c>
      <c r="D57" s="23">
        <f t="shared" si="2"/>
        <v>0</v>
      </c>
      <c r="E57" s="23">
        <f t="shared" si="2"/>
        <v>0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3</v>
      </c>
      <c r="J57" s="23">
        <f t="shared" si="2"/>
        <v>7</v>
      </c>
    </row>
    <row r="58" spans="1:10" s="27" customFormat="1" x14ac:dyDescent="0.25">
      <c r="A58" s="22">
        <v>70</v>
      </c>
      <c r="B58" s="23">
        <f>COUNTIF(B3:B52,70)</f>
        <v>0</v>
      </c>
      <c r="C58" s="23">
        <f t="shared" ref="C58:J58" si="3">COUNTIF(C3:C52,70)</f>
        <v>0</v>
      </c>
      <c r="D58" s="23">
        <f t="shared" si="3"/>
        <v>0</v>
      </c>
      <c r="E58" s="23">
        <f t="shared" si="3"/>
        <v>0</v>
      </c>
      <c r="F58" s="23">
        <f t="shared" si="3"/>
        <v>0</v>
      </c>
      <c r="G58" s="23">
        <f t="shared" si="3"/>
        <v>0</v>
      </c>
      <c r="H58" s="23">
        <f t="shared" si="3"/>
        <v>0</v>
      </c>
      <c r="I58" s="23">
        <f t="shared" si="3"/>
        <v>0</v>
      </c>
      <c r="J58" s="23">
        <f t="shared" si="3"/>
        <v>0</v>
      </c>
    </row>
    <row r="59" spans="1:10" s="27" customFormat="1" x14ac:dyDescent="0.25">
      <c r="A59" s="22">
        <v>71</v>
      </c>
      <c r="B59" s="23">
        <f>COUNTIF(B3:B52,71)</f>
        <v>17</v>
      </c>
      <c r="C59" s="23">
        <f t="shared" ref="C59:J59" si="4">COUNTIF(C3:C52,71)</f>
        <v>42</v>
      </c>
      <c r="D59" s="23">
        <f t="shared" si="4"/>
        <v>8</v>
      </c>
      <c r="E59" s="23">
        <f t="shared" si="4"/>
        <v>9</v>
      </c>
      <c r="F59" s="23">
        <f t="shared" si="4"/>
        <v>11</v>
      </c>
      <c r="G59" s="23">
        <f t="shared" si="4"/>
        <v>10</v>
      </c>
      <c r="H59" s="23">
        <f t="shared" si="4"/>
        <v>8</v>
      </c>
      <c r="I59" s="23">
        <f t="shared" si="4"/>
        <v>31</v>
      </c>
      <c r="J59" s="23">
        <f t="shared" si="4"/>
        <v>25</v>
      </c>
    </row>
    <row r="60" spans="1:10" s="27" customFormat="1" x14ac:dyDescent="0.25">
      <c r="A60" s="22">
        <v>73</v>
      </c>
      <c r="B60" s="23">
        <f>COUNTIF(B3:B52,73)</f>
        <v>24</v>
      </c>
      <c r="C60" s="23">
        <f t="shared" ref="C60:J60" si="5">COUNTIF(C3:C52,73)</f>
        <v>2</v>
      </c>
      <c r="D60" s="23">
        <f t="shared" si="5"/>
        <v>37</v>
      </c>
      <c r="E60" s="23">
        <f t="shared" si="5"/>
        <v>30</v>
      </c>
      <c r="F60" s="23">
        <f t="shared" si="5"/>
        <v>31</v>
      </c>
      <c r="G60" s="23">
        <f t="shared" si="5"/>
        <v>40</v>
      </c>
      <c r="H60" s="23">
        <f t="shared" si="5"/>
        <v>39</v>
      </c>
      <c r="I60" s="23">
        <f t="shared" si="5"/>
        <v>16</v>
      </c>
      <c r="J60" s="23">
        <f t="shared" si="5"/>
        <v>18</v>
      </c>
    </row>
    <row r="61" spans="1:10" s="27" customFormat="1" x14ac:dyDescent="0.25">
      <c r="A61" s="22">
        <v>74</v>
      </c>
      <c r="B61" s="23">
        <f>COUNTIF(B3:B52,74)</f>
        <v>0</v>
      </c>
      <c r="C61" s="23">
        <f t="shared" ref="C61:J61" si="6">COUNTIF(C3:C52,74)</f>
        <v>0</v>
      </c>
      <c r="D61" s="23">
        <f t="shared" si="6"/>
        <v>2</v>
      </c>
      <c r="E61" s="23">
        <f t="shared" si="6"/>
        <v>0</v>
      </c>
      <c r="F61" s="23">
        <f t="shared" si="6"/>
        <v>6</v>
      </c>
      <c r="G61" s="23">
        <f t="shared" si="6"/>
        <v>0</v>
      </c>
      <c r="H61" s="23">
        <f t="shared" si="6"/>
        <v>3</v>
      </c>
      <c r="I61" s="23">
        <f t="shared" si="6"/>
        <v>0</v>
      </c>
      <c r="J61" s="23">
        <f t="shared" si="6"/>
        <v>0</v>
      </c>
    </row>
    <row r="62" spans="1:10" s="25" customFormat="1" x14ac:dyDescent="0.25">
      <c r="A62" s="22">
        <v>75</v>
      </c>
      <c r="B62" s="23">
        <f>COUNTIF(B3:B52,75)</f>
        <v>0</v>
      </c>
      <c r="C62" s="23">
        <f t="shared" ref="C62:J62" si="7">COUNTIF(C3:C52,75)</f>
        <v>0</v>
      </c>
      <c r="D62" s="23">
        <f t="shared" si="7"/>
        <v>1</v>
      </c>
      <c r="E62" s="23">
        <f t="shared" si="7"/>
        <v>11</v>
      </c>
      <c r="F62" s="23">
        <f t="shared" si="7"/>
        <v>2</v>
      </c>
      <c r="G62" s="23">
        <f t="shared" si="7"/>
        <v>0</v>
      </c>
      <c r="H62" s="23">
        <f t="shared" si="7"/>
        <v>0</v>
      </c>
      <c r="I62" s="23">
        <f t="shared" si="7"/>
        <v>0</v>
      </c>
      <c r="J62" s="23">
        <f t="shared" si="7"/>
        <v>0</v>
      </c>
    </row>
    <row r="63" spans="1:10" s="25" customFormat="1" x14ac:dyDescent="0.25">
      <c r="A63" s="28"/>
      <c r="B63" s="89">
        <f>SUM(B56:B62)</f>
        <v>50</v>
      </c>
      <c r="C63" s="89">
        <f t="shared" ref="C63:J63" si="8">SUM(C56:C62)</f>
        <v>50</v>
      </c>
      <c r="D63" s="89">
        <f t="shared" si="8"/>
        <v>50</v>
      </c>
      <c r="E63" s="89">
        <f t="shared" si="8"/>
        <v>50</v>
      </c>
      <c r="F63" s="89">
        <f t="shared" si="8"/>
        <v>50</v>
      </c>
      <c r="G63" s="89">
        <f t="shared" si="8"/>
        <v>50</v>
      </c>
      <c r="H63" s="89">
        <f t="shared" si="8"/>
        <v>50</v>
      </c>
      <c r="I63" s="89">
        <f t="shared" si="8"/>
        <v>50</v>
      </c>
      <c r="J63" s="89">
        <f t="shared" si="8"/>
        <v>50</v>
      </c>
    </row>
    <row r="64" spans="1:10" s="25" customFormat="1" x14ac:dyDescent="0.25">
      <c r="A64" s="28"/>
    </row>
    <row r="65" spans="1:11" s="25" customFormat="1" x14ac:dyDescent="0.25">
      <c r="A65" s="87" t="s">
        <v>103</v>
      </c>
      <c r="B65" s="24">
        <f>SUM(B56:B57)</f>
        <v>9</v>
      </c>
      <c r="C65" s="24">
        <f t="shared" ref="C65:J65" si="9">SUM(C56:C57)</f>
        <v>6</v>
      </c>
      <c r="D65" s="24">
        <f t="shared" si="9"/>
        <v>2</v>
      </c>
      <c r="E65" s="24">
        <f t="shared" si="9"/>
        <v>0</v>
      </c>
      <c r="F65" s="24">
        <f t="shared" si="9"/>
        <v>0</v>
      </c>
      <c r="G65" s="24">
        <f t="shared" si="9"/>
        <v>0</v>
      </c>
      <c r="H65" s="24">
        <f t="shared" si="9"/>
        <v>0</v>
      </c>
      <c r="I65" s="24">
        <f t="shared" si="9"/>
        <v>3</v>
      </c>
      <c r="J65" s="24">
        <f t="shared" si="9"/>
        <v>7</v>
      </c>
      <c r="K65" s="23" t="s">
        <v>99</v>
      </c>
    </row>
    <row r="66" spans="1:11" x14ac:dyDescent="0.25">
      <c r="A66" s="96" t="s">
        <v>104</v>
      </c>
      <c r="B66" s="95">
        <f>SUM(B58:B62)</f>
        <v>41</v>
      </c>
      <c r="C66" s="95">
        <f t="shared" ref="C66:J66" si="10">SUM(C58:C62)</f>
        <v>44</v>
      </c>
      <c r="D66" s="95">
        <f t="shared" si="10"/>
        <v>48</v>
      </c>
      <c r="E66" s="95">
        <f t="shared" si="10"/>
        <v>50</v>
      </c>
      <c r="F66" s="95">
        <f t="shared" si="10"/>
        <v>50</v>
      </c>
      <c r="G66" s="95">
        <f t="shared" si="10"/>
        <v>50</v>
      </c>
      <c r="H66" s="95">
        <f t="shared" si="10"/>
        <v>50</v>
      </c>
      <c r="I66" s="95">
        <f t="shared" si="10"/>
        <v>47</v>
      </c>
      <c r="J66" s="95">
        <f t="shared" si="10"/>
        <v>43</v>
      </c>
      <c r="K66" s="96" t="s">
        <v>105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M65"/>
  <sheetViews>
    <sheetView workbookViewId="0">
      <selection activeCell="O13" sqref="O13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3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</row>
    <row r="2" spans="1:13" ht="15.75" thickBot="1" x14ac:dyDescent="0.3">
      <c r="A2" s="34"/>
      <c r="B2" s="57" t="s">
        <v>43</v>
      </c>
      <c r="C2" s="77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68" t="s">
        <v>48</v>
      </c>
      <c r="I2" s="58" t="s">
        <v>49</v>
      </c>
      <c r="J2" s="59" t="s">
        <v>51</v>
      </c>
    </row>
    <row r="3" spans="1:13" x14ac:dyDescent="0.25">
      <c r="A3" s="12">
        <v>1</v>
      </c>
      <c r="B3" s="41">
        <v>75</v>
      </c>
      <c r="C3" s="65">
        <v>75</v>
      </c>
      <c r="D3" s="62">
        <v>75</v>
      </c>
      <c r="E3" s="40">
        <v>77</v>
      </c>
      <c r="F3" s="41">
        <v>75</v>
      </c>
      <c r="G3" s="65">
        <v>75</v>
      </c>
      <c r="H3" s="65">
        <v>75</v>
      </c>
      <c r="I3" s="80">
        <v>75</v>
      </c>
      <c r="J3" s="47">
        <v>79</v>
      </c>
      <c r="L3" s="47">
        <f>MIN(B3:J52)</f>
        <v>72</v>
      </c>
      <c r="M3" s="47">
        <f>MAX(B3:J52)</f>
        <v>79</v>
      </c>
    </row>
    <row r="4" spans="1:13" x14ac:dyDescent="0.25">
      <c r="A4" s="15">
        <v>2</v>
      </c>
      <c r="B4" s="45">
        <v>75</v>
      </c>
      <c r="C4" s="44">
        <v>75</v>
      </c>
      <c r="D4" s="63">
        <v>75</v>
      </c>
      <c r="E4" s="45">
        <v>79</v>
      </c>
      <c r="F4" s="45">
        <v>75</v>
      </c>
      <c r="G4" s="65">
        <v>75</v>
      </c>
      <c r="H4" s="44">
        <v>77</v>
      </c>
      <c r="I4" s="82">
        <v>75</v>
      </c>
      <c r="J4" s="47">
        <v>79</v>
      </c>
    </row>
    <row r="5" spans="1:13" x14ac:dyDescent="0.25">
      <c r="A5" s="15">
        <v>3</v>
      </c>
      <c r="B5" s="45">
        <v>75</v>
      </c>
      <c r="C5" s="44">
        <v>75</v>
      </c>
      <c r="D5" s="63">
        <v>75</v>
      </c>
      <c r="E5" s="45">
        <v>77</v>
      </c>
      <c r="F5" s="45">
        <v>75</v>
      </c>
      <c r="G5" s="65">
        <v>75</v>
      </c>
      <c r="H5" s="44">
        <v>77</v>
      </c>
      <c r="I5" s="82">
        <v>75</v>
      </c>
      <c r="J5" s="47">
        <v>79</v>
      </c>
    </row>
    <row r="6" spans="1:13" x14ac:dyDescent="0.25">
      <c r="A6" s="15">
        <v>4</v>
      </c>
      <c r="B6" s="45">
        <v>75</v>
      </c>
      <c r="C6" s="44">
        <v>77</v>
      </c>
      <c r="D6" s="63">
        <v>77</v>
      </c>
      <c r="E6" s="45">
        <v>77</v>
      </c>
      <c r="F6" s="45">
        <v>77</v>
      </c>
      <c r="G6" s="65">
        <v>77</v>
      </c>
      <c r="H6" s="44">
        <v>75</v>
      </c>
      <c r="I6" s="82">
        <v>75</v>
      </c>
      <c r="J6" s="47">
        <v>79</v>
      </c>
    </row>
    <row r="7" spans="1:13" x14ac:dyDescent="0.25">
      <c r="A7" s="15">
        <v>5</v>
      </c>
      <c r="B7" s="45">
        <v>77</v>
      </c>
      <c r="C7" s="44">
        <v>75</v>
      </c>
      <c r="D7" s="63">
        <v>75</v>
      </c>
      <c r="E7" s="44">
        <v>77</v>
      </c>
      <c r="F7" s="45">
        <v>75</v>
      </c>
      <c r="G7" s="65">
        <v>75</v>
      </c>
      <c r="H7" s="44">
        <v>77</v>
      </c>
      <c r="I7" s="82">
        <v>77</v>
      </c>
      <c r="J7" s="47">
        <v>79</v>
      </c>
    </row>
    <row r="8" spans="1:13" x14ac:dyDescent="0.25">
      <c r="A8" s="15">
        <v>6</v>
      </c>
      <c r="B8" s="44">
        <v>75</v>
      </c>
      <c r="C8" s="45">
        <v>75</v>
      </c>
      <c r="D8" s="44">
        <v>75</v>
      </c>
      <c r="E8" s="66">
        <v>79</v>
      </c>
      <c r="F8" s="45">
        <v>75</v>
      </c>
      <c r="G8" s="65">
        <v>75</v>
      </c>
      <c r="H8" s="44">
        <v>77</v>
      </c>
      <c r="I8" s="82">
        <v>75</v>
      </c>
      <c r="J8" s="47">
        <v>79</v>
      </c>
    </row>
    <row r="9" spans="1:13" x14ac:dyDescent="0.25">
      <c r="A9" s="15">
        <v>7</v>
      </c>
      <c r="B9" s="44">
        <v>75</v>
      </c>
      <c r="C9" s="45">
        <v>77</v>
      </c>
      <c r="D9" s="44">
        <v>75</v>
      </c>
      <c r="E9" s="63">
        <v>79</v>
      </c>
      <c r="F9" s="45">
        <v>77</v>
      </c>
      <c r="G9" s="65">
        <v>75</v>
      </c>
      <c r="H9" s="44">
        <v>77</v>
      </c>
      <c r="I9" s="82">
        <v>75</v>
      </c>
      <c r="J9" s="47">
        <v>79</v>
      </c>
    </row>
    <row r="10" spans="1:13" x14ac:dyDescent="0.25">
      <c r="A10" s="15">
        <v>8</v>
      </c>
      <c r="B10" s="44">
        <v>75</v>
      </c>
      <c r="C10" s="45">
        <v>75</v>
      </c>
      <c r="D10" s="44">
        <v>75</v>
      </c>
      <c r="E10" s="63">
        <v>77</v>
      </c>
      <c r="F10" s="44">
        <v>75</v>
      </c>
      <c r="G10" s="65">
        <v>75</v>
      </c>
      <c r="H10" s="44">
        <v>77</v>
      </c>
      <c r="I10" s="82">
        <v>79</v>
      </c>
      <c r="J10" s="47">
        <v>77</v>
      </c>
    </row>
    <row r="11" spans="1:13" x14ac:dyDescent="0.25">
      <c r="A11" s="15">
        <v>9</v>
      </c>
      <c r="B11" s="44">
        <v>77</v>
      </c>
      <c r="C11" s="45">
        <v>75</v>
      </c>
      <c r="D11" s="44">
        <v>75</v>
      </c>
      <c r="E11" s="63">
        <v>77</v>
      </c>
      <c r="F11" s="44">
        <v>75</v>
      </c>
      <c r="G11" s="65">
        <v>75</v>
      </c>
      <c r="H11" s="44">
        <v>75</v>
      </c>
      <c r="I11" s="82">
        <v>75</v>
      </c>
      <c r="J11" s="47">
        <v>79</v>
      </c>
    </row>
    <row r="12" spans="1:13" ht="15.75" thickBot="1" x14ac:dyDescent="0.3">
      <c r="A12" s="17">
        <v>10</v>
      </c>
      <c r="B12" s="48">
        <v>75</v>
      </c>
      <c r="C12" s="49">
        <v>75</v>
      </c>
      <c r="D12" s="48">
        <v>75</v>
      </c>
      <c r="E12" s="64">
        <v>77</v>
      </c>
      <c r="F12" s="48">
        <v>75</v>
      </c>
      <c r="G12" s="48">
        <v>77</v>
      </c>
      <c r="H12" s="48">
        <v>77</v>
      </c>
      <c r="I12" s="83">
        <v>72</v>
      </c>
      <c r="J12" s="47">
        <v>79</v>
      </c>
    </row>
    <row r="13" spans="1:13" x14ac:dyDescent="0.25">
      <c r="A13" s="12">
        <v>11</v>
      </c>
      <c r="B13" s="65">
        <v>75</v>
      </c>
      <c r="C13" s="65">
        <v>75</v>
      </c>
      <c r="D13" s="65">
        <v>75</v>
      </c>
      <c r="E13" s="40">
        <v>75</v>
      </c>
      <c r="F13" s="65">
        <v>77</v>
      </c>
      <c r="G13" s="65">
        <v>75</v>
      </c>
      <c r="H13" s="65">
        <v>77</v>
      </c>
      <c r="I13" s="51">
        <v>79</v>
      </c>
      <c r="J13" s="47">
        <v>79</v>
      </c>
    </row>
    <row r="14" spans="1:13" x14ac:dyDescent="0.25">
      <c r="A14" s="15">
        <v>12</v>
      </c>
      <c r="B14" s="44">
        <v>75</v>
      </c>
      <c r="C14" s="44">
        <v>75</v>
      </c>
      <c r="D14" s="44">
        <v>77</v>
      </c>
      <c r="E14" s="44">
        <v>77</v>
      </c>
      <c r="F14" s="44">
        <v>75</v>
      </c>
      <c r="G14" s="44">
        <v>75</v>
      </c>
      <c r="H14" s="65">
        <v>75</v>
      </c>
      <c r="I14" s="46">
        <v>77</v>
      </c>
      <c r="J14" s="47">
        <v>79</v>
      </c>
    </row>
    <row r="15" spans="1:13" x14ac:dyDescent="0.25">
      <c r="A15" s="15">
        <v>13</v>
      </c>
      <c r="B15" s="44">
        <v>79</v>
      </c>
      <c r="C15" s="44">
        <v>73</v>
      </c>
      <c r="D15" s="44">
        <v>75</v>
      </c>
      <c r="E15" s="44">
        <v>75</v>
      </c>
      <c r="F15" s="44">
        <v>77</v>
      </c>
      <c r="G15" s="44">
        <v>75</v>
      </c>
      <c r="H15" s="65">
        <v>77</v>
      </c>
      <c r="I15" s="81">
        <v>75</v>
      </c>
      <c r="J15" s="47">
        <v>79</v>
      </c>
    </row>
    <row r="16" spans="1:13" x14ac:dyDescent="0.25">
      <c r="A16" s="15">
        <v>14</v>
      </c>
      <c r="B16" s="44">
        <v>77</v>
      </c>
      <c r="C16" s="44">
        <v>73</v>
      </c>
      <c r="D16" s="44">
        <v>75</v>
      </c>
      <c r="E16" s="44">
        <v>77</v>
      </c>
      <c r="F16" s="44">
        <v>77</v>
      </c>
      <c r="G16" s="44">
        <v>75</v>
      </c>
      <c r="H16" s="65">
        <v>75</v>
      </c>
      <c r="I16" s="82">
        <v>75</v>
      </c>
      <c r="J16" s="47">
        <v>79</v>
      </c>
    </row>
    <row r="17" spans="1:10" x14ac:dyDescent="0.25">
      <c r="A17" s="15">
        <v>15</v>
      </c>
      <c r="B17" s="44">
        <v>77</v>
      </c>
      <c r="C17" s="44">
        <v>75</v>
      </c>
      <c r="D17" s="44">
        <v>75</v>
      </c>
      <c r="E17" s="44">
        <v>77</v>
      </c>
      <c r="F17" s="44">
        <v>75</v>
      </c>
      <c r="G17" s="44">
        <v>75</v>
      </c>
      <c r="H17" s="65">
        <v>77</v>
      </c>
      <c r="I17" s="82">
        <v>75</v>
      </c>
      <c r="J17" s="47">
        <v>79</v>
      </c>
    </row>
    <row r="18" spans="1:10" x14ac:dyDescent="0.25">
      <c r="A18" s="15">
        <v>16</v>
      </c>
      <c r="B18" s="44">
        <v>75</v>
      </c>
      <c r="C18" s="44">
        <v>75</v>
      </c>
      <c r="D18" s="44">
        <v>77</v>
      </c>
      <c r="E18" s="44">
        <v>77</v>
      </c>
      <c r="F18" s="44">
        <v>75</v>
      </c>
      <c r="G18" s="84">
        <v>75</v>
      </c>
      <c r="H18" s="65">
        <v>77</v>
      </c>
      <c r="I18" s="82">
        <v>75</v>
      </c>
      <c r="J18" s="47">
        <v>79</v>
      </c>
    </row>
    <row r="19" spans="1:10" x14ac:dyDescent="0.25">
      <c r="A19" s="15">
        <v>17</v>
      </c>
      <c r="B19" s="44">
        <v>75</v>
      </c>
      <c r="C19" s="44">
        <v>75</v>
      </c>
      <c r="D19" s="44">
        <v>75</v>
      </c>
      <c r="E19" s="44">
        <v>77</v>
      </c>
      <c r="F19" s="44">
        <v>75</v>
      </c>
      <c r="G19" s="44">
        <v>75</v>
      </c>
      <c r="H19" s="65">
        <v>77</v>
      </c>
      <c r="I19" s="82">
        <v>75</v>
      </c>
      <c r="J19" s="47">
        <v>77</v>
      </c>
    </row>
    <row r="20" spans="1:10" x14ac:dyDescent="0.25">
      <c r="A20" s="15">
        <v>18</v>
      </c>
      <c r="B20" s="44">
        <v>77</v>
      </c>
      <c r="C20" s="44">
        <v>75</v>
      </c>
      <c r="D20" s="44">
        <v>75</v>
      </c>
      <c r="E20" s="44">
        <v>77</v>
      </c>
      <c r="F20" s="44">
        <v>73</v>
      </c>
      <c r="G20" s="44">
        <v>75</v>
      </c>
      <c r="H20" s="65">
        <v>77</v>
      </c>
      <c r="I20" s="82">
        <v>77</v>
      </c>
      <c r="J20" s="47">
        <v>75</v>
      </c>
    </row>
    <row r="21" spans="1:10" x14ac:dyDescent="0.25">
      <c r="A21" s="15">
        <v>19</v>
      </c>
      <c r="B21" s="44">
        <v>77</v>
      </c>
      <c r="C21" s="44">
        <v>75</v>
      </c>
      <c r="D21" s="44">
        <v>77</v>
      </c>
      <c r="E21" s="44">
        <v>79</v>
      </c>
      <c r="F21" s="44">
        <v>73</v>
      </c>
      <c r="G21" s="65">
        <v>75</v>
      </c>
      <c r="H21" s="65">
        <v>77</v>
      </c>
      <c r="I21" s="82">
        <v>75</v>
      </c>
      <c r="J21" s="47">
        <v>79</v>
      </c>
    </row>
    <row r="22" spans="1:10" ht="15.75" thickBot="1" x14ac:dyDescent="0.3">
      <c r="A22" s="17">
        <v>20</v>
      </c>
      <c r="B22" s="48">
        <v>77</v>
      </c>
      <c r="C22" s="48">
        <v>75</v>
      </c>
      <c r="D22" s="48">
        <v>77</v>
      </c>
      <c r="E22" s="48">
        <v>79</v>
      </c>
      <c r="F22" s="48">
        <v>73</v>
      </c>
      <c r="G22" s="65">
        <v>75</v>
      </c>
      <c r="H22" s="48">
        <v>77</v>
      </c>
      <c r="I22" s="83">
        <v>75</v>
      </c>
      <c r="J22" s="47">
        <v>79</v>
      </c>
    </row>
    <row r="23" spans="1:10" x14ac:dyDescent="0.25">
      <c r="A23" s="12">
        <v>21</v>
      </c>
      <c r="B23" s="65">
        <v>77</v>
      </c>
      <c r="C23" s="65">
        <v>75</v>
      </c>
      <c r="D23" s="65">
        <v>77</v>
      </c>
      <c r="E23" s="40">
        <v>79</v>
      </c>
      <c r="F23" s="65">
        <v>77</v>
      </c>
      <c r="G23" s="40">
        <v>75</v>
      </c>
      <c r="H23" s="65">
        <v>79</v>
      </c>
      <c r="I23" s="71">
        <v>79</v>
      </c>
      <c r="J23" s="43">
        <v>79</v>
      </c>
    </row>
    <row r="24" spans="1:10" x14ac:dyDescent="0.25">
      <c r="A24" s="15">
        <v>22</v>
      </c>
      <c r="B24" s="44">
        <v>79</v>
      </c>
      <c r="C24" s="44">
        <v>75</v>
      </c>
      <c r="D24" s="65">
        <v>75</v>
      </c>
      <c r="E24" s="44">
        <v>75</v>
      </c>
      <c r="F24" s="44">
        <v>75</v>
      </c>
      <c r="G24" s="44">
        <v>75</v>
      </c>
      <c r="H24" s="44">
        <v>77</v>
      </c>
      <c r="I24" s="71">
        <v>75</v>
      </c>
      <c r="J24" s="43">
        <v>79</v>
      </c>
    </row>
    <row r="25" spans="1:10" x14ac:dyDescent="0.25">
      <c r="A25" s="15">
        <v>23</v>
      </c>
      <c r="B25" s="44">
        <v>77</v>
      </c>
      <c r="C25" s="44">
        <v>77</v>
      </c>
      <c r="D25" s="65">
        <v>75</v>
      </c>
      <c r="E25" s="44">
        <v>77</v>
      </c>
      <c r="F25" s="44">
        <v>75</v>
      </c>
      <c r="G25" s="44">
        <v>75</v>
      </c>
      <c r="H25" s="44">
        <v>77</v>
      </c>
      <c r="I25" s="71">
        <v>77</v>
      </c>
      <c r="J25" s="43">
        <v>79</v>
      </c>
    </row>
    <row r="26" spans="1:10" x14ac:dyDescent="0.25">
      <c r="A26" s="15">
        <v>24</v>
      </c>
      <c r="B26" s="44">
        <v>77</v>
      </c>
      <c r="C26" s="44">
        <v>75</v>
      </c>
      <c r="D26" s="65">
        <v>75</v>
      </c>
      <c r="E26" s="44">
        <v>77</v>
      </c>
      <c r="F26" s="44">
        <v>77</v>
      </c>
      <c r="G26" s="44">
        <v>77</v>
      </c>
      <c r="H26" s="44">
        <v>79</v>
      </c>
      <c r="I26" s="71">
        <v>75</v>
      </c>
      <c r="J26" s="43">
        <v>79</v>
      </c>
    </row>
    <row r="27" spans="1:10" x14ac:dyDescent="0.25">
      <c r="A27" s="15">
        <v>25</v>
      </c>
      <c r="B27" s="44">
        <v>77</v>
      </c>
      <c r="C27" s="44">
        <v>75</v>
      </c>
      <c r="D27" s="65">
        <v>75</v>
      </c>
      <c r="E27" s="44">
        <v>77</v>
      </c>
      <c r="F27" s="44">
        <v>75</v>
      </c>
      <c r="G27" s="44">
        <v>75</v>
      </c>
      <c r="H27" s="44">
        <v>77</v>
      </c>
      <c r="I27" s="71">
        <v>77</v>
      </c>
      <c r="J27" s="43">
        <v>79</v>
      </c>
    </row>
    <row r="28" spans="1:10" x14ac:dyDescent="0.25">
      <c r="A28" s="15">
        <v>26</v>
      </c>
      <c r="B28" s="44">
        <v>75</v>
      </c>
      <c r="C28" s="44">
        <v>75</v>
      </c>
      <c r="D28" s="65">
        <v>75</v>
      </c>
      <c r="E28" s="44">
        <v>77</v>
      </c>
      <c r="F28" s="44">
        <v>77</v>
      </c>
      <c r="G28" s="44">
        <v>75</v>
      </c>
      <c r="H28" s="44">
        <v>77</v>
      </c>
      <c r="I28" s="46">
        <v>77</v>
      </c>
      <c r="J28" s="43">
        <v>79</v>
      </c>
    </row>
    <row r="29" spans="1:10" x14ac:dyDescent="0.25">
      <c r="A29" s="15">
        <v>27</v>
      </c>
      <c r="B29" s="44">
        <v>77</v>
      </c>
      <c r="C29" s="44">
        <v>75</v>
      </c>
      <c r="D29" s="65">
        <v>77</v>
      </c>
      <c r="E29" s="44">
        <v>77</v>
      </c>
      <c r="F29" s="44"/>
      <c r="G29" s="44">
        <v>75</v>
      </c>
      <c r="H29" s="44">
        <v>75</v>
      </c>
      <c r="I29" s="46">
        <v>77</v>
      </c>
      <c r="J29" s="43">
        <v>79</v>
      </c>
    </row>
    <row r="30" spans="1:10" x14ac:dyDescent="0.25">
      <c r="A30" s="15">
        <v>28</v>
      </c>
      <c r="B30" s="44">
        <v>77</v>
      </c>
      <c r="C30" s="44">
        <v>75</v>
      </c>
      <c r="D30" s="65">
        <v>77</v>
      </c>
      <c r="E30" s="44">
        <v>77</v>
      </c>
      <c r="F30" s="44"/>
      <c r="G30" s="44">
        <v>75</v>
      </c>
      <c r="H30" s="44">
        <v>77</v>
      </c>
      <c r="I30" s="46">
        <v>77</v>
      </c>
      <c r="J30" s="43">
        <v>79</v>
      </c>
    </row>
    <row r="31" spans="1:10" x14ac:dyDescent="0.25">
      <c r="A31" s="15">
        <v>29</v>
      </c>
      <c r="B31" s="44">
        <v>79</v>
      </c>
      <c r="C31" s="44">
        <v>75</v>
      </c>
      <c r="D31" s="65">
        <v>77</v>
      </c>
      <c r="E31" s="44">
        <v>79</v>
      </c>
      <c r="F31" s="44"/>
      <c r="G31" s="44">
        <v>77</v>
      </c>
      <c r="H31" s="44">
        <v>75</v>
      </c>
      <c r="I31" s="46">
        <v>75</v>
      </c>
      <c r="J31" s="43">
        <v>79</v>
      </c>
    </row>
    <row r="32" spans="1:10" ht="15.75" thickBot="1" x14ac:dyDescent="0.3">
      <c r="A32" s="17">
        <v>30</v>
      </c>
      <c r="B32" s="48">
        <v>77</v>
      </c>
      <c r="C32" s="48">
        <v>75</v>
      </c>
      <c r="D32" s="48">
        <v>77</v>
      </c>
      <c r="E32" s="44">
        <v>79</v>
      </c>
      <c r="F32" s="48"/>
      <c r="G32" s="48">
        <v>75</v>
      </c>
      <c r="H32" s="48">
        <v>77</v>
      </c>
      <c r="I32" s="50">
        <v>75</v>
      </c>
      <c r="J32" s="43">
        <v>79</v>
      </c>
    </row>
    <row r="33" spans="1:10" x14ac:dyDescent="0.25">
      <c r="A33" s="12">
        <v>31</v>
      </c>
      <c r="B33" s="65"/>
      <c r="C33" s="65">
        <v>77</v>
      </c>
      <c r="D33" s="65">
        <v>75</v>
      </c>
      <c r="E33" s="40">
        <v>77</v>
      </c>
      <c r="F33" s="67"/>
      <c r="G33" s="65">
        <v>75</v>
      </c>
      <c r="H33" s="66">
        <v>77</v>
      </c>
      <c r="I33" s="42">
        <v>79</v>
      </c>
      <c r="J33" s="43">
        <v>79</v>
      </c>
    </row>
    <row r="34" spans="1:10" x14ac:dyDescent="0.25">
      <c r="A34" s="15">
        <v>32</v>
      </c>
      <c r="B34" s="44"/>
      <c r="C34" s="44">
        <v>73</v>
      </c>
      <c r="D34" s="65">
        <v>75</v>
      </c>
      <c r="E34" s="44">
        <v>77</v>
      </c>
      <c r="F34" s="44"/>
      <c r="G34" s="44">
        <v>75</v>
      </c>
      <c r="H34" s="44">
        <v>79</v>
      </c>
      <c r="I34" s="46">
        <v>75</v>
      </c>
      <c r="J34" s="43">
        <v>77</v>
      </c>
    </row>
    <row r="35" spans="1:10" x14ac:dyDescent="0.25">
      <c r="A35" s="15">
        <v>33</v>
      </c>
      <c r="B35" s="44"/>
      <c r="C35" s="44">
        <v>75</v>
      </c>
      <c r="D35" s="65">
        <v>75</v>
      </c>
      <c r="E35" s="44">
        <v>79</v>
      </c>
      <c r="F35" s="44"/>
      <c r="G35" s="44">
        <v>75</v>
      </c>
      <c r="H35" s="44">
        <v>77</v>
      </c>
      <c r="I35" s="46">
        <v>77</v>
      </c>
      <c r="J35" s="43">
        <v>79</v>
      </c>
    </row>
    <row r="36" spans="1:10" x14ac:dyDescent="0.25">
      <c r="A36" s="15">
        <v>34</v>
      </c>
      <c r="B36" s="44"/>
      <c r="C36" s="44">
        <v>77</v>
      </c>
      <c r="D36" s="65">
        <v>77</v>
      </c>
      <c r="E36" s="44">
        <v>77</v>
      </c>
      <c r="F36" s="44"/>
      <c r="G36" s="44">
        <v>75</v>
      </c>
      <c r="H36" s="44">
        <v>77</v>
      </c>
      <c r="I36" s="46">
        <v>75</v>
      </c>
      <c r="J36" s="43">
        <v>79</v>
      </c>
    </row>
    <row r="37" spans="1:10" x14ac:dyDescent="0.25">
      <c r="A37" s="15">
        <v>35</v>
      </c>
      <c r="B37" s="44"/>
      <c r="C37" s="44">
        <v>77</v>
      </c>
      <c r="D37" s="65">
        <v>75</v>
      </c>
      <c r="E37" s="44">
        <v>77</v>
      </c>
      <c r="F37" s="44"/>
      <c r="G37" s="44">
        <v>75</v>
      </c>
      <c r="H37" s="44">
        <v>77</v>
      </c>
      <c r="I37" s="46">
        <v>77</v>
      </c>
      <c r="J37" s="43">
        <v>79</v>
      </c>
    </row>
    <row r="38" spans="1:10" x14ac:dyDescent="0.25">
      <c r="A38" s="15">
        <v>36</v>
      </c>
      <c r="B38" s="44"/>
      <c r="C38" s="44">
        <v>73</v>
      </c>
      <c r="D38" s="65">
        <v>77</v>
      </c>
      <c r="E38" s="44">
        <v>79</v>
      </c>
      <c r="F38" s="44"/>
      <c r="G38" s="44">
        <v>75</v>
      </c>
      <c r="H38" s="44">
        <v>77</v>
      </c>
      <c r="I38" s="46">
        <v>77</v>
      </c>
      <c r="J38" s="43">
        <v>77</v>
      </c>
    </row>
    <row r="39" spans="1:10" x14ac:dyDescent="0.25">
      <c r="A39" s="15">
        <v>37</v>
      </c>
      <c r="B39" s="44"/>
      <c r="C39" s="44">
        <v>75</v>
      </c>
      <c r="D39" s="65">
        <v>77</v>
      </c>
      <c r="E39" s="44">
        <v>77</v>
      </c>
      <c r="F39" s="44"/>
      <c r="G39" s="44">
        <v>75</v>
      </c>
      <c r="H39" s="44">
        <v>75</v>
      </c>
      <c r="I39" s="46">
        <v>77</v>
      </c>
      <c r="J39" s="43">
        <v>79</v>
      </c>
    </row>
    <row r="40" spans="1:10" x14ac:dyDescent="0.25">
      <c r="A40" s="15">
        <v>38</v>
      </c>
      <c r="B40" s="44"/>
      <c r="C40" s="44">
        <v>75</v>
      </c>
      <c r="D40" s="65">
        <v>75</v>
      </c>
      <c r="E40" s="44">
        <v>79</v>
      </c>
      <c r="F40" s="44"/>
      <c r="G40" s="44">
        <v>75</v>
      </c>
      <c r="H40" s="44">
        <v>77</v>
      </c>
      <c r="I40" s="46">
        <v>77</v>
      </c>
      <c r="J40" s="43">
        <v>79</v>
      </c>
    </row>
    <row r="41" spans="1:10" x14ac:dyDescent="0.25">
      <c r="A41" s="15">
        <v>39</v>
      </c>
      <c r="B41" s="44"/>
      <c r="C41" s="44">
        <v>75</v>
      </c>
      <c r="D41" s="65">
        <v>77</v>
      </c>
      <c r="E41" s="44">
        <v>77</v>
      </c>
      <c r="F41" s="44"/>
      <c r="G41" s="44">
        <v>75</v>
      </c>
      <c r="H41" s="44">
        <v>77</v>
      </c>
      <c r="I41" s="46">
        <v>77</v>
      </c>
      <c r="J41" s="43">
        <v>79</v>
      </c>
    </row>
    <row r="42" spans="1:10" ht="15.75" thickBot="1" x14ac:dyDescent="0.3">
      <c r="A42" s="17">
        <v>40</v>
      </c>
      <c r="B42" s="48"/>
      <c r="C42" s="48">
        <v>75</v>
      </c>
      <c r="D42" s="48">
        <v>77</v>
      </c>
      <c r="E42" s="48">
        <v>75</v>
      </c>
      <c r="F42" s="44"/>
      <c r="G42" s="48">
        <v>75</v>
      </c>
      <c r="H42" s="48">
        <v>75</v>
      </c>
      <c r="I42" s="50">
        <v>77</v>
      </c>
      <c r="J42" s="43">
        <v>79</v>
      </c>
    </row>
    <row r="43" spans="1:10" x14ac:dyDescent="0.25">
      <c r="A43" s="12">
        <v>41</v>
      </c>
      <c r="B43" s="40"/>
      <c r="C43" s="65">
        <v>75</v>
      </c>
      <c r="D43" s="65">
        <v>77</v>
      </c>
      <c r="E43" s="65">
        <v>77</v>
      </c>
      <c r="F43" s="40"/>
      <c r="G43" s="67">
        <v>77</v>
      </c>
      <c r="H43" s="65">
        <v>77</v>
      </c>
      <c r="I43" s="80">
        <v>77</v>
      </c>
      <c r="J43" s="47">
        <v>79</v>
      </c>
    </row>
    <row r="44" spans="1:10" x14ac:dyDescent="0.25">
      <c r="A44" s="15">
        <v>42</v>
      </c>
      <c r="B44" s="44"/>
      <c r="C44" s="44">
        <v>75</v>
      </c>
      <c r="D44" s="65">
        <v>77</v>
      </c>
      <c r="E44" s="44">
        <v>77</v>
      </c>
      <c r="F44" s="44"/>
      <c r="G44" s="67">
        <v>77</v>
      </c>
      <c r="H44" s="44">
        <v>75</v>
      </c>
      <c r="I44" s="81">
        <v>77</v>
      </c>
      <c r="J44" s="47">
        <v>77</v>
      </c>
    </row>
    <row r="45" spans="1:10" x14ac:dyDescent="0.25">
      <c r="A45" s="15">
        <v>43</v>
      </c>
      <c r="B45" s="44"/>
      <c r="C45" s="44">
        <v>75</v>
      </c>
      <c r="D45" s="65">
        <v>77</v>
      </c>
      <c r="E45" s="44">
        <v>75</v>
      </c>
      <c r="F45" s="44"/>
      <c r="G45" s="67">
        <v>75</v>
      </c>
      <c r="H45" s="44">
        <v>77</v>
      </c>
      <c r="I45" s="81">
        <v>77</v>
      </c>
      <c r="J45" s="47">
        <v>79</v>
      </c>
    </row>
    <row r="46" spans="1:10" x14ac:dyDescent="0.25">
      <c r="A46" s="15">
        <v>44</v>
      </c>
      <c r="B46" s="44"/>
      <c r="C46" s="44">
        <v>75</v>
      </c>
      <c r="D46" s="65">
        <v>75</v>
      </c>
      <c r="E46" s="44">
        <v>77</v>
      </c>
      <c r="F46" s="44"/>
      <c r="G46" s="67">
        <v>75</v>
      </c>
      <c r="H46" s="44">
        <v>79</v>
      </c>
      <c r="I46" s="81">
        <v>79</v>
      </c>
      <c r="J46" s="47">
        <v>79</v>
      </c>
    </row>
    <row r="47" spans="1:10" x14ac:dyDescent="0.25">
      <c r="A47" s="15">
        <v>45</v>
      </c>
      <c r="B47" s="44"/>
      <c r="C47" s="44">
        <v>75</v>
      </c>
      <c r="D47" s="65">
        <v>77</v>
      </c>
      <c r="E47" s="44">
        <v>75</v>
      </c>
      <c r="F47" s="44"/>
      <c r="G47" s="67">
        <v>75</v>
      </c>
      <c r="H47" s="44">
        <v>77</v>
      </c>
      <c r="I47" s="81">
        <v>77</v>
      </c>
      <c r="J47" s="47">
        <v>77</v>
      </c>
    </row>
    <row r="48" spans="1:10" x14ac:dyDescent="0.25">
      <c r="A48" s="15">
        <v>46</v>
      </c>
      <c r="B48" s="44"/>
      <c r="C48" s="44">
        <v>75</v>
      </c>
      <c r="D48" s="65">
        <v>75</v>
      </c>
      <c r="E48" s="44">
        <v>77</v>
      </c>
      <c r="F48" s="44"/>
      <c r="G48" s="67">
        <v>75</v>
      </c>
      <c r="H48" s="44">
        <v>77</v>
      </c>
      <c r="I48" s="81">
        <v>77</v>
      </c>
      <c r="J48" s="47">
        <v>79</v>
      </c>
    </row>
    <row r="49" spans="1:11" x14ac:dyDescent="0.25">
      <c r="A49" s="15">
        <v>47</v>
      </c>
      <c r="B49" s="44"/>
      <c r="C49" s="44">
        <v>75</v>
      </c>
      <c r="D49" s="65">
        <v>77</v>
      </c>
      <c r="E49" s="44">
        <v>77</v>
      </c>
      <c r="F49" s="44"/>
      <c r="G49" s="67">
        <v>77</v>
      </c>
      <c r="H49" s="44">
        <v>77</v>
      </c>
      <c r="I49" s="51">
        <v>79</v>
      </c>
      <c r="J49" s="47">
        <v>79</v>
      </c>
    </row>
    <row r="50" spans="1:11" x14ac:dyDescent="0.25">
      <c r="A50" s="15">
        <v>48</v>
      </c>
      <c r="B50" s="44"/>
      <c r="C50" s="44">
        <v>75</v>
      </c>
      <c r="D50" s="65">
        <v>77</v>
      </c>
      <c r="E50" s="44">
        <v>77</v>
      </c>
      <c r="F50" s="44"/>
      <c r="G50" s="67">
        <v>75</v>
      </c>
      <c r="H50" s="45">
        <v>77</v>
      </c>
      <c r="I50" s="46">
        <v>79</v>
      </c>
      <c r="J50" s="47">
        <v>79</v>
      </c>
    </row>
    <row r="51" spans="1:11" x14ac:dyDescent="0.25">
      <c r="A51" s="15">
        <v>49</v>
      </c>
      <c r="B51" s="44"/>
      <c r="C51" s="44">
        <v>75</v>
      </c>
      <c r="D51" s="65">
        <v>75</v>
      </c>
      <c r="E51" s="44">
        <v>75</v>
      </c>
      <c r="F51" s="44"/>
      <c r="G51" s="67">
        <v>75</v>
      </c>
      <c r="H51" s="44">
        <v>77</v>
      </c>
      <c r="I51" s="81">
        <v>77</v>
      </c>
      <c r="J51" s="43">
        <v>79</v>
      </c>
    </row>
    <row r="52" spans="1:11" ht="15.75" thickBot="1" x14ac:dyDescent="0.3">
      <c r="A52" s="17">
        <v>50</v>
      </c>
      <c r="B52" s="48"/>
      <c r="C52" s="48">
        <v>75</v>
      </c>
      <c r="D52" s="48">
        <v>75</v>
      </c>
      <c r="E52" s="48">
        <v>79</v>
      </c>
      <c r="F52" s="48"/>
      <c r="G52" s="48">
        <v>75</v>
      </c>
      <c r="H52" s="48">
        <v>79</v>
      </c>
      <c r="I52" s="50">
        <v>77</v>
      </c>
      <c r="J52" s="43">
        <v>79</v>
      </c>
    </row>
    <row r="53" spans="1:11" x14ac:dyDescent="0.25">
      <c r="A53" s="5"/>
    </row>
    <row r="54" spans="1:11" x14ac:dyDescent="0.25">
      <c r="A54" s="22" t="s">
        <v>52</v>
      </c>
      <c r="B54" s="97">
        <f>AVERAGE(B3:B32)</f>
        <v>76.333333333333329</v>
      </c>
      <c r="C54" s="23">
        <f t="shared" ref="C54:J54" si="0">AVERAGE(C3:C52)</f>
        <v>75.08</v>
      </c>
      <c r="D54" s="23">
        <f t="shared" si="0"/>
        <v>75.84</v>
      </c>
      <c r="E54" s="23">
        <f t="shared" si="0"/>
        <v>77.2</v>
      </c>
      <c r="F54" s="97">
        <f>AVERAGE(F3:F28)</f>
        <v>75.384615384615387</v>
      </c>
      <c r="G54" s="23">
        <f t="shared" si="0"/>
        <v>75.28</v>
      </c>
      <c r="H54" s="23">
        <f t="shared" si="0"/>
        <v>76.8</v>
      </c>
      <c r="I54" s="23">
        <f t="shared" si="0"/>
        <v>76.38</v>
      </c>
      <c r="J54" s="23">
        <f t="shared" si="0"/>
        <v>78.680000000000007</v>
      </c>
    </row>
    <row r="55" spans="1:11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1" s="27" customFormat="1" x14ac:dyDescent="0.25">
      <c r="A56" s="22">
        <v>72</v>
      </c>
      <c r="B56" s="23">
        <f>COUNTIF(B3:B52,72)</f>
        <v>0</v>
      </c>
      <c r="C56" s="23">
        <f t="shared" ref="C56:J56" si="1">COUNTIF(C3:C52,72)</f>
        <v>0</v>
      </c>
      <c r="D56" s="23">
        <f t="shared" si="1"/>
        <v>0</v>
      </c>
      <c r="E56" s="23">
        <f t="shared" si="1"/>
        <v>0</v>
      </c>
      <c r="F56" s="23">
        <f t="shared" si="1"/>
        <v>0</v>
      </c>
      <c r="G56" s="23">
        <f t="shared" si="1"/>
        <v>0</v>
      </c>
      <c r="H56" s="23">
        <f t="shared" si="1"/>
        <v>0</v>
      </c>
      <c r="I56" s="23">
        <f t="shared" si="1"/>
        <v>1</v>
      </c>
      <c r="J56" s="23">
        <f t="shared" si="1"/>
        <v>0</v>
      </c>
    </row>
    <row r="57" spans="1:11" s="27" customFormat="1" x14ac:dyDescent="0.25">
      <c r="A57" s="22">
        <v>73</v>
      </c>
      <c r="B57" s="23">
        <f>COUNTIF(B3:B52,73)</f>
        <v>0</v>
      </c>
      <c r="C57" s="23">
        <f t="shared" ref="C57:J57" si="2">COUNTIF(C3:C52,73)</f>
        <v>4</v>
      </c>
      <c r="D57" s="23">
        <f t="shared" si="2"/>
        <v>0</v>
      </c>
      <c r="E57" s="23">
        <f t="shared" si="2"/>
        <v>0</v>
      </c>
      <c r="F57" s="23">
        <f t="shared" si="2"/>
        <v>3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</row>
    <row r="58" spans="1:11" s="27" customFormat="1" x14ac:dyDescent="0.25">
      <c r="A58" s="22">
        <v>74</v>
      </c>
      <c r="B58" s="23">
        <f>COUNTIF(B3:B52,74)</f>
        <v>0</v>
      </c>
      <c r="C58" s="23">
        <f t="shared" ref="C58:J58" si="3">COUNTIF(C3:C52,74)</f>
        <v>0</v>
      </c>
      <c r="D58" s="23">
        <f t="shared" si="3"/>
        <v>0</v>
      </c>
      <c r="E58" s="23">
        <f t="shared" si="3"/>
        <v>0</v>
      </c>
      <c r="F58" s="23">
        <f t="shared" si="3"/>
        <v>0</v>
      </c>
      <c r="G58" s="23">
        <f t="shared" si="3"/>
        <v>0</v>
      </c>
      <c r="H58" s="23">
        <f t="shared" si="3"/>
        <v>0</v>
      </c>
      <c r="I58" s="23">
        <f t="shared" si="3"/>
        <v>0</v>
      </c>
      <c r="J58" s="23">
        <f t="shared" si="3"/>
        <v>0</v>
      </c>
    </row>
    <row r="59" spans="1:11" s="27" customFormat="1" x14ac:dyDescent="0.25">
      <c r="A59" s="22">
        <v>75</v>
      </c>
      <c r="B59" s="23">
        <f>COUNTIF(B3:B52,75)</f>
        <v>13</v>
      </c>
      <c r="C59" s="23">
        <f t="shared" ref="C59:J59" si="4">COUNTIF(C3:C52,75)</f>
        <v>40</v>
      </c>
      <c r="D59" s="23">
        <f t="shared" si="4"/>
        <v>29</v>
      </c>
      <c r="E59" s="23">
        <f t="shared" si="4"/>
        <v>7</v>
      </c>
      <c r="F59" s="23">
        <f t="shared" si="4"/>
        <v>15</v>
      </c>
      <c r="G59" s="23">
        <f t="shared" si="4"/>
        <v>43</v>
      </c>
      <c r="H59" s="23">
        <f t="shared" si="4"/>
        <v>10</v>
      </c>
      <c r="I59" s="23">
        <f t="shared" si="4"/>
        <v>20</v>
      </c>
      <c r="J59" s="23">
        <f t="shared" si="4"/>
        <v>1</v>
      </c>
    </row>
    <row r="60" spans="1:11" s="27" customFormat="1" x14ac:dyDescent="0.25">
      <c r="A60" s="22">
        <v>77</v>
      </c>
      <c r="B60" s="23">
        <f>COUNTIF(B3:B52,77)</f>
        <v>14</v>
      </c>
      <c r="C60" s="23">
        <f t="shared" ref="C60:J60" si="5">COUNTIF(C3:C52,77)</f>
        <v>6</v>
      </c>
      <c r="D60" s="23">
        <f t="shared" si="5"/>
        <v>21</v>
      </c>
      <c r="E60" s="23">
        <f t="shared" si="5"/>
        <v>31</v>
      </c>
      <c r="F60" s="23">
        <f t="shared" si="5"/>
        <v>8</v>
      </c>
      <c r="G60" s="23">
        <f t="shared" si="5"/>
        <v>7</v>
      </c>
      <c r="H60" s="23">
        <f t="shared" si="5"/>
        <v>35</v>
      </c>
      <c r="I60" s="23">
        <f t="shared" si="5"/>
        <v>22</v>
      </c>
      <c r="J60" s="23">
        <f t="shared" si="5"/>
        <v>6</v>
      </c>
    </row>
    <row r="61" spans="1:11" s="25" customFormat="1" x14ac:dyDescent="0.25">
      <c r="A61" s="22">
        <v>79</v>
      </c>
      <c r="B61" s="23">
        <f>COUNTIF(B3:B52,79)</f>
        <v>3</v>
      </c>
      <c r="C61" s="23">
        <f t="shared" ref="C61:J61" si="6">COUNTIF(C3:C52,79)</f>
        <v>0</v>
      </c>
      <c r="D61" s="23">
        <f t="shared" si="6"/>
        <v>0</v>
      </c>
      <c r="E61" s="23">
        <f t="shared" si="6"/>
        <v>12</v>
      </c>
      <c r="F61" s="23">
        <f t="shared" si="6"/>
        <v>0</v>
      </c>
      <c r="G61" s="23">
        <f t="shared" si="6"/>
        <v>0</v>
      </c>
      <c r="H61" s="23">
        <f t="shared" si="6"/>
        <v>5</v>
      </c>
      <c r="I61" s="23">
        <f t="shared" si="6"/>
        <v>7</v>
      </c>
      <c r="J61" s="23">
        <f t="shared" si="6"/>
        <v>43</v>
      </c>
    </row>
    <row r="62" spans="1:11" s="25" customFormat="1" x14ac:dyDescent="0.25">
      <c r="A62" s="28"/>
      <c r="B62" s="90">
        <f>SUM(B56:B61)</f>
        <v>30</v>
      </c>
      <c r="C62" s="89">
        <f t="shared" ref="C62:J62" si="7">SUM(C56:C61)</f>
        <v>50</v>
      </c>
      <c r="D62" s="89">
        <f t="shared" si="7"/>
        <v>50</v>
      </c>
      <c r="E62" s="89">
        <f t="shared" si="7"/>
        <v>50</v>
      </c>
      <c r="F62" s="90">
        <f t="shared" si="7"/>
        <v>26</v>
      </c>
      <c r="G62" s="89">
        <f t="shared" si="7"/>
        <v>50</v>
      </c>
      <c r="H62" s="89">
        <f t="shared" si="7"/>
        <v>50</v>
      </c>
      <c r="I62" s="89">
        <f t="shared" si="7"/>
        <v>50</v>
      </c>
      <c r="J62" s="89">
        <f t="shared" si="7"/>
        <v>50</v>
      </c>
    </row>
    <row r="63" spans="1:11" x14ac:dyDescent="0.25">
      <c r="A63" s="52"/>
    </row>
    <row r="64" spans="1:11" s="25" customFormat="1" x14ac:dyDescent="0.25">
      <c r="A64" s="87" t="s">
        <v>106</v>
      </c>
      <c r="B64" s="24">
        <f>SUM(B56:B59)</f>
        <v>13</v>
      </c>
      <c r="C64" s="99">
        <f t="shared" ref="C64:J64" si="8">SUM(C56:C59)</f>
        <v>44</v>
      </c>
      <c r="D64" s="99">
        <f t="shared" si="8"/>
        <v>29</v>
      </c>
      <c r="E64" s="24">
        <f t="shared" si="8"/>
        <v>7</v>
      </c>
      <c r="F64" s="99">
        <f t="shared" si="8"/>
        <v>18</v>
      </c>
      <c r="G64" s="99">
        <f t="shared" si="8"/>
        <v>43</v>
      </c>
      <c r="H64" s="24">
        <f t="shared" si="8"/>
        <v>10</v>
      </c>
      <c r="I64" s="24">
        <f t="shared" si="8"/>
        <v>21</v>
      </c>
      <c r="J64" s="24">
        <f t="shared" si="8"/>
        <v>1</v>
      </c>
      <c r="K64" s="96" t="s">
        <v>105</v>
      </c>
    </row>
    <row r="65" spans="1:11" x14ac:dyDescent="0.25">
      <c r="A65" t="s">
        <v>107</v>
      </c>
      <c r="B65" s="98">
        <f>SUM(B60:B61)</f>
        <v>17</v>
      </c>
      <c r="C65" s="24">
        <f t="shared" ref="C65:J65" si="9">SUM(C60:C61)</f>
        <v>6</v>
      </c>
      <c r="D65" s="24">
        <f t="shared" si="9"/>
        <v>21</v>
      </c>
      <c r="E65" s="98">
        <f t="shared" si="9"/>
        <v>43</v>
      </c>
      <c r="F65" s="24">
        <f t="shared" si="9"/>
        <v>8</v>
      </c>
      <c r="G65" s="24">
        <f t="shared" si="9"/>
        <v>7</v>
      </c>
      <c r="H65" s="98">
        <f t="shared" si="9"/>
        <v>40</v>
      </c>
      <c r="I65" s="98">
        <f t="shared" si="9"/>
        <v>29</v>
      </c>
      <c r="J65" s="24">
        <f t="shared" si="9"/>
        <v>49</v>
      </c>
      <c r="K65" s="23" t="s">
        <v>108</v>
      </c>
    </row>
  </sheetData>
  <mergeCells count="1">
    <mergeCell ref="B1:J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N64"/>
  <sheetViews>
    <sheetView tabSelected="1" workbookViewId="0">
      <selection activeCell="P10" sqref="P10"/>
    </sheetView>
  </sheetViews>
  <sheetFormatPr defaultRowHeight="15" x14ac:dyDescent="0.25"/>
  <cols>
    <col min="1" max="1" width="10.140625" bestFit="1" customWidth="1"/>
    <col min="10" max="10" width="18.42578125" bestFit="1" customWidth="1"/>
  </cols>
  <sheetData>
    <row r="1" spans="1:14" ht="15.75" thickBot="1" x14ac:dyDescent="0.3">
      <c r="B1" s="106" t="s">
        <v>113</v>
      </c>
      <c r="C1" s="106"/>
      <c r="D1" s="106"/>
      <c r="E1" s="106"/>
      <c r="F1" s="106"/>
      <c r="G1" s="106"/>
      <c r="H1" s="106"/>
      <c r="I1" s="106"/>
      <c r="J1" s="106"/>
      <c r="K1" s="106"/>
    </row>
    <row r="2" spans="1:14" ht="15.75" thickBot="1" x14ac:dyDescent="0.3">
      <c r="A2" s="34"/>
      <c r="B2" s="57" t="s">
        <v>43</v>
      </c>
      <c r="C2" s="77" t="s">
        <v>44</v>
      </c>
      <c r="D2" s="21" t="s">
        <v>45</v>
      </c>
      <c r="E2" s="21" t="s">
        <v>46</v>
      </c>
      <c r="F2" s="68" t="s">
        <v>47</v>
      </c>
      <c r="G2" s="68" t="s">
        <v>50</v>
      </c>
      <c r="H2" s="57" t="s">
        <v>48</v>
      </c>
      <c r="I2" s="78" t="s">
        <v>49</v>
      </c>
      <c r="J2" s="59" t="s">
        <v>51</v>
      </c>
      <c r="K2" s="85" t="s">
        <v>93</v>
      </c>
    </row>
    <row r="3" spans="1:14" x14ac:dyDescent="0.25">
      <c r="A3" s="12">
        <v>1</v>
      </c>
      <c r="B3" s="41">
        <v>83</v>
      </c>
      <c r="C3" s="65">
        <v>83</v>
      </c>
      <c r="D3" s="62">
        <v>83</v>
      </c>
      <c r="E3" s="40">
        <v>83</v>
      </c>
      <c r="F3" s="41">
        <v>81</v>
      </c>
      <c r="G3" s="65">
        <v>81</v>
      </c>
      <c r="H3" s="44">
        <v>83</v>
      </c>
      <c r="I3" s="80">
        <v>81</v>
      </c>
      <c r="J3" s="47">
        <v>83</v>
      </c>
      <c r="K3" s="47">
        <v>85</v>
      </c>
      <c r="M3" s="47">
        <f>MIN(B3:K52)</f>
        <v>79</v>
      </c>
      <c r="N3" s="47">
        <f>MAX(B3:K52)</f>
        <v>85</v>
      </c>
    </row>
    <row r="4" spans="1:14" x14ac:dyDescent="0.25">
      <c r="A4" s="15">
        <v>2</v>
      </c>
      <c r="B4" s="45">
        <v>83</v>
      </c>
      <c r="C4" s="44">
        <v>83</v>
      </c>
      <c r="D4" s="63">
        <v>83</v>
      </c>
      <c r="E4" s="45">
        <v>83</v>
      </c>
      <c r="F4" s="45">
        <v>81</v>
      </c>
      <c r="G4" s="65">
        <v>81</v>
      </c>
      <c r="H4" s="44">
        <v>83</v>
      </c>
      <c r="I4" s="82">
        <v>81</v>
      </c>
      <c r="J4" s="47">
        <v>85</v>
      </c>
      <c r="K4" s="47">
        <v>85</v>
      </c>
    </row>
    <row r="5" spans="1:14" x14ac:dyDescent="0.25">
      <c r="A5" s="15">
        <v>3</v>
      </c>
      <c r="B5" s="45">
        <v>83</v>
      </c>
      <c r="C5" s="44">
        <v>81</v>
      </c>
      <c r="D5" s="63">
        <v>83</v>
      </c>
      <c r="E5" s="45">
        <v>83</v>
      </c>
      <c r="F5" s="45">
        <v>83</v>
      </c>
      <c r="G5" s="65">
        <v>81</v>
      </c>
      <c r="H5" s="44">
        <v>81</v>
      </c>
      <c r="I5" s="82">
        <v>81</v>
      </c>
      <c r="J5" s="47">
        <v>81</v>
      </c>
      <c r="K5" s="47">
        <v>85</v>
      </c>
    </row>
    <row r="6" spans="1:14" x14ac:dyDescent="0.25">
      <c r="A6" s="15">
        <v>4</v>
      </c>
      <c r="B6" s="45">
        <v>83</v>
      </c>
      <c r="C6" s="44">
        <v>81</v>
      </c>
      <c r="D6" s="63">
        <v>83</v>
      </c>
      <c r="E6" s="45">
        <v>81</v>
      </c>
      <c r="F6" s="45">
        <v>79</v>
      </c>
      <c r="G6" s="65">
        <v>81</v>
      </c>
      <c r="H6" s="44">
        <v>83</v>
      </c>
      <c r="I6" s="44">
        <v>81</v>
      </c>
      <c r="J6" s="47">
        <v>83</v>
      </c>
      <c r="K6" s="47">
        <v>85</v>
      </c>
    </row>
    <row r="7" spans="1:14" x14ac:dyDescent="0.25">
      <c r="A7" s="15">
        <v>5</v>
      </c>
      <c r="B7" s="45">
        <v>83</v>
      </c>
      <c r="C7" s="44">
        <v>83</v>
      </c>
      <c r="D7" s="63">
        <v>83</v>
      </c>
      <c r="E7" s="44">
        <v>83</v>
      </c>
      <c r="F7" s="45">
        <v>79</v>
      </c>
      <c r="G7" s="65">
        <v>81</v>
      </c>
      <c r="H7" s="44">
        <v>83</v>
      </c>
      <c r="I7" s="81">
        <v>81</v>
      </c>
      <c r="J7" s="47">
        <v>85</v>
      </c>
      <c r="K7" s="47">
        <v>85</v>
      </c>
    </row>
    <row r="8" spans="1:14" x14ac:dyDescent="0.25">
      <c r="A8" s="15">
        <v>6</v>
      </c>
      <c r="B8" s="44">
        <v>81</v>
      </c>
      <c r="C8" s="45">
        <v>83</v>
      </c>
      <c r="D8" s="44">
        <v>81</v>
      </c>
      <c r="E8" s="66">
        <v>85</v>
      </c>
      <c r="F8" s="45">
        <v>79</v>
      </c>
      <c r="G8" s="65">
        <v>81</v>
      </c>
      <c r="H8" s="44">
        <v>81</v>
      </c>
      <c r="I8" s="82">
        <v>83</v>
      </c>
      <c r="J8" s="47">
        <v>81</v>
      </c>
      <c r="K8" s="47">
        <v>85</v>
      </c>
    </row>
    <row r="9" spans="1:14" x14ac:dyDescent="0.25">
      <c r="A9" s="15">
        <v>7</v>
      </c>
      <c r="B9" s="44">
        <v>81</v>
      </c>
      <c r="C9" s="45">
        <v>83</v>
      </c>
      <c r="D9" s="44">
        <v>83</v>
      </c>
      <c r="E9" s="63">
        <v>80</v>
      </c>
      <c r="F9" s="45">
        <v>79</v>
      </c>
      <c r="G9" s="65">
        <v>79</v>
      </c>
      <c r="H9" s="44">
        <v>81</v>
      </c>
      <c r="I9" s="82">
        <v>83</v>
      </c>
      <c r="J9" s="47">
        <v>81</v>
      </c>
      <c r="K9" s="47">
        <v>85</v>
      </c>
    </row>
    <row r="10" spans="1:14" x14ac:dyDescent="0.25">
      <c r="A10" s="15">
        <v>8</v>
      </c>
      <c r="B10" s="44">
        <v>83</v>
      </c>
      <c r="C10" s="45">
        <v>83</v>
      </c>
      <c r="D10" s="44">
        <v>83</v>
      </c>
      <c r="E10" s="63">
        <v>83</v>
      </c>
      <c r="F10" s="44">
        <v>83</v>
      </c>
      <c r="G10" s="65">
        <v>79</v>
      </c>
      <c r="H10" s="44">
        <v>81</v>
      </c>
      <c r="I10" s="82">
        <v>83</v>
      </c>
      <c r="J10" s="47">
        <v>81</v>
      </c>
      <c r="K10" s="47">
        <v>85</v>
      </c>
    </row>
    <row r="11" spans="1:14" x14ac:dyDescent="0.25">
      <c r="A11" s="15">
        <v>9</v>
      </c>
      <c r="B11" s="44">
        <v>81</v>
      </c>
      <c r="C11" s="45">
        <v>81</v>
      </c>
      <c r="D11" s="44">
        <v>83</v>
      </c>
      <c r="E11" s="63">
        <v>85</v>
      </c>
      <c r="F11" s="44">
        <v>83</v>
      </c>
      <c r="G11" s="65">
        <v>81</v>
      </c>
      <c r="H11" s="44">
        <v>81</v>
      </c>
      <c r="I11" s="82">
        <v>83</v>
      </c>
      <c r="J11" s="47">
        <v>81</v>
      </c>
      <c r="K11" s="47">
        <v>85</v>
      </c>
    </row>
    <row r="12" spans="1:14" ht="15.75" thickBot="1" x14ac:dyDescent="0.3">
      <c r="A12" s="17">
        <v>10</v>
      </c>
      <c r="B12" s="48">
        <v>83</v>
      </c>
      <c r="C12" s="49">
        <v>83</v>
      </c>
      <c r="D12" s="48">
        <v>83</v>
      </c>
      <c r="E12" s="64">
        <v>85</v>
      </c>
      <c r="F12" s="48">
        <v>81</v>
      </c>
      <c r="G12" s="48">
        <v>79</v>
      </c>
      <c r="H12" s="48">
        <v>81</v>
      </c>
      <c r="I12" s="50">
        <v>81</v>
      </c>
      <c r="J12" s="47">
        <v>83</v>
      </c>
      <c r="K12" s="47">
        <v>85</v>
      </c>
    </row>
    <row r="13" spans="1:14" x14ac:dyDescent="0.25">
      <c r="A13" s="12">
        <v>11</v>
      </c>
      <c r="B13" s="65">
        <v>83</v>
      </c>
      <c r="C13" s="65">
        <v>83</v>
      </c>
      <c r="D13" s="65">
        <v>83</v>
      </c>
      <c r="E13" s="40">
        <v>85</v>
      </c>
      <c r="F13" s="65"/>
      <c r="G13" s="65">
        <v>83</v>
      </c>
      <c r="H13" s="65">
        <v>83</v>
      </c>
      <c r="I13" s="51">
        <v>83</v>
      </c>
      <c r="J13" s="47">
        <v>83</v>
      </c>
      <c r="K13" s="47">
        <v>83</v>
      </c>
    </row>
    <row r="14" spans="1:14" x14ac:dyDescent="0.25">
      <c r="A14" s="15">
        <v>12</v>
      </c>
      <c r="B14" s="44">
        <v>83</v>
      </c>
      <c r="C14" s="44">
        <v>83</v>
      </c>
      <c r="D14" s="65">
        <v>83</v>
      </c>
      <c r="E14" s="44">
        <v>83</v>
      </c>
      <c r="F14" s="44"/>
      <c r="G14" s="44">
        <v>83</v>
      </c>
      <c r="H14" s="65">
        <v>83</v>
      </c>
      <c r="I14" s="46">
        <v>81</v>
      </c>
      <c r="J14" s="47">
        <v>81</v>
      </c>
      <c r="K14" s="47">
        <v>83</v>
      </c>
    </row>
    <row r="15" spans="1:14" x14ac:dyDescent="0.25">
      <c r="A15" s="15">
        <v>13</v>
      </c>
      <c r="B15" s="44">
        <v>83</v>
      </c>
      <c r="C15" s="44">
        <v>83</v>
      </c>
      <c r="D15" s="65">
        <v>83</v>
      </c>
      <c r="E15" s="44">
        <v>83</v>
      </c>
      <c r="F15" s="44"/>
      <c r="G15" s="44">
        <v>83</v>
      </c>
      <c r="H15" s="65">
        <v>83</v>
      </c>
      <c r="I15" s="81">
        <v>83</v>
      </c>
      <c r="J15" s="47">
        <v>83</v>
      </c>
      <c r="K15" s="47">
        <v>83</v>
      </c>
    </row>
    <row r="16" spans="1:14" x14ac:dyDescent="0.25">
      <c r="A16" s="15">
        <v>14</v>
      </c>
      <c r="B16" s="44">
        <v>83</v>
      </c>
      <c r="C16" s="44">
        <v>81</v>
      </c>
      <c r="D16" s="65">
        <v>83</v>
      </c>
      <c r="E16" s="44">
        <v>83</v>
      </c>
      <c r="F16" s="44"/>
      <c r="G16" s="44">
        <v>81</v>
      </c>
      <c r="H16" s="65">
        <v>81</v>
      </c>
      <c r="I16" s="82">
        <v>81</v>
      </c>
      <c r="J16" s="47">
        <v>83</v>
      </c>
      <c r="K16" s="47">
        <v>83</v>
      </c>
    </row>
    <row r="17" spans="1:11" x14ac:dyDescent="0.25">
      <c r="A17" s="15">
        <v>15</v>
      </c>
      <c r="B17" s="44">
        <v>83</v>
      </c>
      <c r="C17" s="44">
        <v>81</v>
      </c>
      <c r="D17" s="65">
        <v>83</v>
      </c>
      <c r="E17" s="44">
        <v>85</v>
      </c>
      <c r="F17" s="44"/>
      <c r="G17" s="44">
        <v>81</v>
      </c>
      <c r="H17" s="65">
        <v>81</v>
      </c>
      <c r="I17" s="82">
        <v>81</v>
      </c>
      <c r="J17" s="47">
        <v>83</v>
      </c>
      <c r="K17" s="47">
        <v>83</v>
      </c>
    </row>
    <row r="18" spans="1:11" x14ac:dyDescent="0.25">
      <c r="A18" s="15">
        <v>16</v>
      </c>
      <c r="B18" s="44">
        <v>79</v>
      </c>
      <c r="C18" s="44">
        <v>83</v>
      </c>
      <c r="D18" s="65">
        <v>83</v>
      </c>
      <c r="E18" s="44">
        <v>85</v>
      </c>
      <c r="F18" s="44"/>
      <c r="G18" s="84">
        <v>81</v>
      </c>
      <c r="H18" s="65">
        <v>81</v>
      </c>
      <c r="I18" s="82">
        <v>81</v>
      </c>
      <c r="J18" s="47">
        <v>85</v>
      </c>
      <c r="K18" s="47">
        <v>81</v>
      </c>
    </row>
    <row r="19" spans="1:11" x14ac:dyDescent="0.25">
      <c r="A19" s="15">
        <v>17</v>
      </c>
      <c r="B19" s="44">
        <v>81</v>
      </c>
      <c r="C19" s="44">
        <v>81</v>
      </c>
      <c r="D19" s="65">
        <v>83</v>
      </c>
      <c r="E19" s="44">
        <v>85</v>
      </c>
      <c r="F19" s="44"/>
      <c r="G19" s="44">
        <v>79</v>
      </c>
      <c r="H19" s="65">
        <v>79</v>
      </c>
      <c r="I19" s="82">
        <v>81</v>
      </c>
      <c r="J19" s="47">
        <v>83</v>
      </c>
      <c r="K19" s="47">
        <v>81</v>
      </c>
    </row>
    <row r="20" spans="1:11" x14ac:dyDescent="0.25">
      <c r="A20" s="15">
        <v>18</v>
      </c>
      <c r="B20" s="44">
        <v>81</v>
      </c>
      <c r="C20" s="44">
        <v>81</v>
      </c>
      <c r="D20" s="65">
        <v>83</v>
      </c>
      <c r="E20" s="44">
        <v>85</v>
      </c>
      <c r="F20" s="44"/>
      <c r="G20" s="44">
        <v>81</v>
      </c>
      <c r="H20" s="65">
        <v>79</v>
      </c>
      <c r="I20" s="82">
        <v>81</v>
      </c>
      <c r="J20" s="47">
        <v>85</v>
      </c>
      <c r="K20" s="47">
        <v>83</v>
      </c>
    </row>
    <row r="21" spans="1:11" x14ac:dyDescent="0.25">
      <c r="A21" s="15">
        <v>19</v>
      </c>
      <c r="B21" s="44">
        <v>83</v>
      </c>
      <c r="C21" s="44">
        <v>81</v>
      </c>
      <c r="D21" s="65">
        <v>83</v>
      </c>
      <c r="E21" s="44">
        <v>85</v>
      </c>
      <c r="F21" s="44"/>
      <c r="G21" s="65">
        <v>81</v>
      </c>
      <c r="H21" s="65">
        <v>81</v>
      </c>
      <c r="I21" s="82">
        <v>83</v>
      </c>
      <c r="J21" s="47">
        <v>85</v>
      </c>
      <c r="K21" s="47">
        <v>81</v>
      </c>
    </row>
    <row r="22" spans="1:11" ht="15.75" thickBot="1" x14ac:dyDescent="0.3">
      <c r="A22" s="17">
        <v>20</v>
      </c>
      <c r="B22" s="48">
        <v>83</v>
      </c>
      <c r="C22" s="48">
        <v>81</v>
      </c>
      <c r="D22" s="48">
        <v>83</v>
      </c>
      <c r="E22" s="44">
        <v>85</v>
      </c>
      <c r="F22" s="48"/>
      <c r="G22" s="65">
        <v>79</v>
      </c>
      <c r="H22" s="48">
        <v>81</v>
      </c>
      <c r="I22" s="83">
        <v>83</v>
      </c>
      <c r="J22" s="47">
        <v>83</v>
      </c>
      <c r="K22" s="47">
        <v>83</v>
      </c>
    </row>
    <row r="23" spans="1:11" x14ac:dyDescent="0.25">
      <c r="A23" s="12">
        <v>21</v>
      </c>
      <c r="B23" s="65">
        <v>83</v>
      </c>
      <c r="C23" s="65">
        <v>83</v>
      </c>
      <c r="D23" s="65">
        <v>81</v>
      </c>
      <c r="E23" s="40">
        <v>83</v>
      </c>
      <c r="F23" s="65"/>
      <c r="G23" s="40">
        <v>79</v>
      </c>
      <c r="H23" s="65">
        <v>79</v>
      </c>
      <c r="I23" s="71">
        <v>81</v>
      </c>
      <c r="J23" s="43">
        <v>83</v>
      </c>
      <c r="K23" s="47">
        <v>85</v>
      </c>
    </row>
    <row r="24" spans="1:11" x14ac:dyDescent="0.25">
      <c r="A24" s="15">
        <v>22</v>
      </c>
      <c r="B24" s="44">
        <v>83</v>
      </c>
      <c r="C24" s="44">
        <v>81</v>
      </c>
      <c r="D24" s="65">
        <v>83</v>
      </c>
      <c r="E24" s="44">
        <v>85</v>
      </c>
      <c r="F24" s="44"/>
      <c r="G24" s="44">
        <v>81</v>
      </c>
      <c r="H24" s="44">
        <v>79</v>
      </c>
      <c r="I24" s="71">
        <v>81</v>
      </c>
      <c r="J24" s="43">
        <v>83</v>
      </c>
      <c r="K24" s="47">
        <v>85</v>
      </c>
    </row>
    <row r="25" spans="1:11" x14ac:dyDescent="0.25">
      <c r="A25" s="15">
        <v>23</v>
      </c>
      <c r="B25" s="44">
        <v>83</v>
      </c>
      <c r="C25" s="44">
        <v>83</v>
      </c>
      <c r="D25" s="65">
        <v>83</v>
      </c>
      <c r="E25" s="44">
        <v>85</v>
      </c>
      <c r="F25" s="44"/>
      <c r="G25" s="44">
        <v>81</v>
      </c>
      <c r="H25" s="44">
        <v>83</v>
      </c>
      <c r="I25" s="71">
        <v>81</v>
      </c>
      <c r="J25" s="43">
        <v>83</v>
      </c>
      <c r="K25" s="47">
        <v>85</v>
      </c>
    </row>
    <row r="26" spans="1:11" x14ac:dyDescent="0.25">
      <c r="A26" s="15">
        <v>24</v>
      </c>
      <c r="B26" s="44">
        <v>81</v>
      </c>
      <c r="C26" s="44">
        <v>83</v>
      </c>
      <c r="D26" s="65">
        <v>83</v>
      </c>
      <c r="E26" s="44">
        <v>85</v>
      </c>
      <c r="F26" s="44"/>
      <c r="G26" s="44">
        <v>81</v>
      </c>
      <c r="H26" s="44">
        <v>83</v>
      </c>
      <c r="I26" s="71">
        <v>83</v>
      </c>
      <c r="J26" s="43">
        <v>83</v>
      </c>
      <c r="K26" s="47">
        <v>85</v>
      </c>
    </row>
    <row r="27" spans="1:11" x14ac:dyDescent="0.25">
      <c r="A27" s="15">
        <v>25</v>
      </c>
      <c r="B27" s="44">
        <v>83</v>
      </c>
      <c r="C27" s="44">
        <v>79</v>
      </c>
      <c r="D27" s="65">
        <v>83</v>
      </c>
      <c r="E27" s="44">
        <v>85</v>
      </c>
      <c r="F27" s="44"/>
      <c r="G27" s="44">
        <v>79</v>
      </c>
      <c r="H27" s="44">
        <v>83</v>
      </c>
      <c r="I27" s="71">
        <v>81</v>
      </c>
      <c r="J27" s="43">
        <v>81</v>
      </c>
      <c r="K27" s="47">
        <v>85</v>
      </c>
    </row>
    <row r="28" spans="1:11" x14ac:dyDescent="0.25">
      <c r="A28" s="15">
        <v>26</v>
      </c>
      <c r="B28" s="44">
        <v>83</v>
      </c>
      <c r="C28" s="44">
        <v>79</v>
      </c>
      <c r="D28" s="65">
        <v>81</v>
      </c>
      <c r="E28" s="44">
        <v>85</v>
      </c>
      <c r="F28" s="44"/>
      <c r="G28" s="44">
        <v>83</v>
      </c>
      <c r="H28" s="44">
        <v>83</v>
      </c>
      <c r="I28" s="71">
        <v>81</v>
      </c>
      <c r="J28" s="43">
        <v>81</v>
      </c>
      <c r="K28" s="47">
        <v>83</v>
      </c>
    </row>
    <row r="29" spans="1:11" x14ac:dyDescent="0.25">
      <c r="A29" s="15">
        <v>27</v>
      </c>
      <c r="B29" s="44">
        <v>81</v>
      </c>
      <c r="C29" s="44">
        <v>83</v>
      </c>
      <c r="D29" s="65">
        <v>81</v>
      </c>
      <c r="E29" s="44">
        <v>83</v>
      </c>
      <c r="F29" s="44"/>
      <c r="G29" s="44">
        <v>81</v>
      </c>
      <c r="H29" s="44">
        <v>81</v>
      </c>
      <c r="I29" s="71">
        <v>81</v>
      </c>
      <c r="J29" s="43">
        <v>85</v>
      </c>
      <c r="K29" s="47">
        <v>83</v>
      </c>
    </row>
    <row r="30" spans="1:11" x14ac:dyDescent="0.25">
      <c r="A30" s="15">
        <v>28</v>
      </c>
      <c r="B30" s="44">
        <v>81</v>
      </c>
      <c r="C30" s="44">
        <v>83</v>
      </c>
      <c r="D30" s="65">
        <v>83</v>
      </c>
      <c r="E30" s="44">
        <v>83</v>
      </c>
      <c r="F30" s="44"/>
      <c r="G30" s="44">
        <v>81</v>
      </c>
      <c r="H30" s="44">
        <v>79</v>
      </c>
      <c r="I30" s="71">
        <v>81</v>
      </c>
      <c r="J30" s="43">
        <v>83</v>
      </c>
      <c r="K30" s="47">
        <v>83</v>
      </c>
    </row>
    <row r="31" spans="1:11" x14ac:dyDescent="0.25">
      <c r="A31" s="15">
        <v>29</v>
      </c>
      <c r="B31" s="44">
        <v>83</v>
      </c>
      <c r="C31" s="44">
        <v>81</v>
      </c>
      <c r="D31" s="65">
        <v>81</v>
      </c>
      <c r="E31" s="44">
        <v>83</v>
      </c>
      <c r="F31" s="44"/>
      <c r="G31" s="44">
        <v>79</v>
      </c>
      <c r="H31" s="44">
        <v>83</v>
      </c>
      <c r="I31" s="71">
        <v>81</v>
      </c>
      <c r="J31" s="43">
        <v>81</v>
      </c>
      <c r="K31" s="47">
        <v>83</v>
      </c>
    </row>
    <row r="32" spans="1:11" ht="15.75" thickBot="1" x14ac:dyDescent="0.3">
      <c r="A32" s="17">
        <v>30</v>
      </c>
      <c r="B32" s="48">
        <v>83</v>
      </c>
      <c r="C32" s="48">
        <v>81</v>
      </c>
      <c r="D32" s="48">
        <v>83</v>
      </c>
      <c r="E32" s="44">
        <v>85</v>
      </c>
      <c r="F32" s="48"/>
      <c r="G32" s="48">
        <v>79</v>
      </c>
      <c r="H32" s="48">
        <v>83</v>
      </c>
      <c r="I32" s="71">
        <v>81</v>
      </c>
      <c r="J32" s="43">
        <v>83</v>
      </c>
      <c r="K32" s="47">
        <v>83</v>
      </c>
    </row>
    <row r="33" spans="1:11" x14ac:dyDescent="0.25">
      <c r="A33" s="12">
        <v>31</v>
      </c>
      <c r="B33" s="65">
        <v>80</v>
      </c>
      <c r="C33" s="65">
        <v>83</v>
      </c>
      <c r="D33" s="65">
        <v>81</v>
      </c>
      <c r="E33" s="40">
        <v>85</v>
      </c>
      <c r="F33" s="67"/>
      <c r="G33" s="65">
        <v>79</v>
      </c>
      <c r="H33" s="66">
        <v>83</v>
      </c>
      <c r="I33" s="42">
        <v>81</v>
      </c>
      <c r="J33" s="43">
        <v>83</v>
      </c>
      <c r="K33" s="47">
        <v>85</v>
      </c>
    </row>
    <row r="34" spans="1:11" x14ac:dyDescent="0.25">
      <c r="A34" s="15">
        <v>32</v>
      </c>
      <c r="B34" s="44">
        <v>81</v>
      </c>
      <c r="C34" s="44">
        <v>83</v>
      </c>
      <c r="D34" s="65">
        <v>83</v>
      </c>
      <c r="E34" s="44">
        <v>83</v>
      </c>
      <c r="F34" s="44"/>
      <c r="G34" s="44">
        <v>81</v>
      </c>
      <c r="H34" s="44">
        <v>83</v>
      </c>
      <c r="I34" s="46">
        <v>81</v>
      </c>
      <c r="J34" s="43">
        <v>83</v>
      </c>
      <c r="K34" s="47">
        <v>85</v>
      </c>
    </row>
    <row r="35" spans="1:11" x14ac:dyDescent="0.25">
      <c r="A35" s="15">
        <v>33</v>
      </c>
      <c r="B35" s="44">
        <v>83</v>
      </c>
      <c r="C35" s="44">
        <v>81</v>
      </c>
      <c r="D35" s="65">
        <v>83</v>
      </c>
      <c r="E35" s="44">
        <v>83</v>
      </c>
      <c r="F35" s="44"/>
      <c r="G35" s="44">
        <v>79</v>
      </c>
      <c r="H35" s="44">
        <v>81</v>
      </c>
      <c r="I35" s="46">
        <v>83</v>
      </c>
      <c r="J35" s="43">
        <v>83</v>
      </c>
      <c r="K35" s="47">
        <v>85</v>
      </c>
    </row>
    <row r="36" spans="1:11" x14ac:dyDescent="0.25">
      <c r="A36" s="15">
        <v>34</v>
      </c>
      <c r="B36" s="44">
        <v>81</v>
      </c>
      <c r="C36" s="44">
        <v>81</v>
      </c>
      <c r="D36" s="65">
        <v>83</v>
      </c>
      <c r="E36" s="44">
        <v>85</v>
      </c>
      <c r="F36" s="44"/>
      <c r="G36" s="44">
        <v>83</v>
      </c>
      <c r="H36" s="44">
        <v>81</v>
      </c>
      <c r="I36" s="46">
        <v>83</v>
      </c>
      <c r="J36" s="43">
        <v>81</v>
      </c>
      <c r="K36" s="47">
        <v>85</v>
      </c>
    </row>
    <row r="37" spans="1:11" x14ac:dyDescent="0.25">
      <c r="A37" s="15">
        <v>35</v>
      </c>
      <c r="B37" s="44">
        <v>81</v>
      </c>
      <c r="C37" s="44">
        <v>81</v>
      </c>
      <c r="D37" s="65">
        <v>83</v>
      </c>
      <c r="E37" s="44">
        <v>85</v>
      </c>
      <c r="F37" s="44"/>
      <c r="G37" s="44">
        <v>83</v>
      </c>
      <c r="H37" s="44">
        <v>81</v>
      </c>
      <c r="I37" s="46">
        <v>83</v>
      </c>
      <c r="J37" s="43">
        <v>81</v>
      </c>
      <c r="K37" s="47">
        <v>81</v>
      </c>
    </row>
    <row r="38" spans="1:11" x14ac:dyDescent="0.25">
      <c r="A38" s="15">
        <v>36</v>
      </c>
      <c r="B38" s="44">
        <v>81</v>
      </c>
      <c r="C38" s="44">
        <v>81</v>
      </c>
      <c r="D38" s="65">
        <v>83</v>
      </c>
      <c r="E38" s="44">
        <v>83</v>
      </c>
      <c r="F38" s="44"/>
      <c r="G38" s="44">
        <v>81</v>
      </c>
      <c r="H38" s="44">
        <v>81</v>
      </c>
      <c r="I38" s="46">
        <v>83</v>
      </c>
      <c r="J38" s="43">
        <v>81</v>
      </c>
      <c r="K38" s="47">
        <v>85</v>
      </c>
    </row>
    <row r="39" spans="1:11" x14ac:dyDescent="0.25">
      <c r="A39" s="15">
        <v>37</v>
      </c>
      <c r="B39" s="44">
        <v>81</v>
      </c>
      <c r="C39" s="44">
        <v>83</v>
      </c>
      <c r="D39" s="65">
        <v>79</v>
      </c>
      <c r="E39" s="44">
        <v>85</v>
      </c>
      <c r="F39" s="44"/>
      <c r="G39" s="44">
        <v>81</v>
      </c>
      <c r="H39" s="44">
        <v>81</v>
      </c>
      <c r="I39" s="46">
        <v>81</v>
      </c>
      <c r="J39" s="43">
        <v>85</v>
      </c>
      <c r="K39" s="47">
        <v>85</v>
      </c>
    </row>
    <row r="40" spans="1:11" x14ac:dyDescent="0.25">
      <c r="A40" s="15">
        <v>38</v>
      </c>
      <c r="B40" s="44">
        <v>81</v>
      </c>
      <c r="C40" s="44">
        <v>83</v>
      </c>
      <c r="D40" s="65">
        <v>81</v>
      </c>
      <c r="E40" s="44">
        <v>85</v>
      </c>
      <c r="F40" s="44"/>
      <c r="G40" s="44">
        <v>83</v>
      </c>
      <c r="H40" s="44">
        <v>81</v>
      </c>
      <c r="I40" s="46">
        <v>83</v>
      </c>
      <c r="J40" s="43">
        <v>81</v>
      </c>
      <c r="K40" s="47">
        <v>81</v>
      </c>
    </row>
    <row r="41" spans="1:11" x14ac:dyDescent="0.25">
      <c r="A41" s="15">
        <v>39</v>
      </c>
      <c r="B41" s="44">
        <v>83</v>
      </c>
      <c r="C41" s="44">
        <v>83</v>
      </c>
      <c r="D41" s="65">
        <v>83</v>
      </c>
      <c r="E41" s="44">
        <v>85</v>
      </c>
      <c r="F41" s="44"/>
      <c r="G41" s="44">
        <v>81</v>
      </c>
      <c r="H41" s="44">
        <v>81</v>
      </c>
      <c r="I41" s="46">
        <v>83</v>
      </c>
      <c r="J41" s="43">
        <v>83</v>
      </c>
      <c r="K41" s="47">
        <v>85</v>
      </c>
    </row>
    <row r="42" spans="1:11" ht="15.75" thickBot="1" x14ac:dyDescent="0.3">
      <c r="A42" s="17">
        <v>40</v>
      </c>
      <c r="B42" s="48">
        <v>81</v>
      </c>
      <c r="C42" s="48">
        <v>81</v>
      </c>
      <c r="D42" s="48">
        <v>83</v>
      </c>
      <c r="E42" s="48">
        <v>85</v>
      </c>
      <c r="F42" s="44"/>
      <c r="G42" s="48">
        <v>81</v>
      </c>
      <c r="H42" s="48">
        <v>79</v>
      </c>
      <c r="I42" s="50">
        <v>83</v>
      </c>
      <c r="J42" s="43">
        <v>85</v>
      </c>
      <c r="K42" s="47">
        <v>85</v>
      </c>
    </row>
    <row r="43" spans="1:11" x14ac:dyDescent="0.25">
      <c r="A43" s="12">
        <v>41</v>
      </c>
      <c r="B43" s="40">
        <v>83</v>
      </c>
      <c r="C43" s="65">
        <v>81</v>
      </c>
      <c r="D43" s="65">
        <v>83</v>
      </c>
      <c r="E43" s="65">
        <v>85</v>
      </c>
      <c r="F43" s="40"/>
      <c r="G43" s="67">
        <v>81</v>
      </c>
      <c r="H43" s="65">
        <v>79</v>
      </c>
      <c r="I43" s="80">
        <v>83</v>
      </c>
      <c r="J43" s="47">
        <v>85</v>
      </c>
      <c r="K43" s="47">
        <v>81</v>
      </c>
    </row>
    <row r="44" spans="1:11" x14ac:dyDescent="0.25">
      <c r="A44" s="15">
        <v>42</v>
      </c>
      <c r="B44" s="44">
        <v>81</v>
      </c>
      <c r="C44" s="44">
        <v>83</v>
      </c>
      <c r="D44" s="65">
        <v>83</v>
      </c>
      <c r="E44" s="44">
        <v>85</v>
      </c>
      <c r="F44" s="44"/>
      <c r="G44" s="67">
        <v>79</v>
      </c>
      <c r="H44" s="44">
        <v>81</v>
      </c>
      <c r="I44" s="81">
        <v>83</v>
      </c>
      <c r="J44" s="47">
        <v>81</v>
      </c>
      <c r="K44" s="47">
        <v>85</v>
      </c>
    </row>
    <row r="45" spans="1:11" x14ac:dyDescent="0.25">
      <c r="A45" s="15">
        <v>43</v>
      </c>
      <c r="B45" s="44">
        <v>81</v>
      </c>
      <c r="C45" s="44">
        <v>83</v>
      </c>
      <c r="D45" s="65">
        <v>83</v>
      </c>
      <c r="E45" s="44">
        <v>83</v>
      </c>
      <c r="F45" s="44"/>
      <c r="G45" s="67">
        <v>81</v>
      </c>
      <c r="H45" s="44">
        <v>81</v>
      </c>
      <c r="I45" s="81">
        <v>83</v>
      </c>
      <c r="J45" s="47">
        <v>81</v>
      </c>
      <c r="K45" s="47">
        <v>85</v>
      </c>
    </row>
    <row r="46" spans="1:11" x14ac:dyDescent="0.25">
      <c r="A46" s="15">
        <v>44</v>
      </c>
      <c r="B46" s="44">
        <v>81</v>
      </c>
      <c r="C46" s="44">
        <v>81</v>
      </c>
      <c r="D46" s="65">
        <v>81</v>
      </c>
      <c r="E46" s="44">
        <v>83</v>
      </c>
      <c r="F46" s="44"/>
      <c r="G46" s="67">
        <v>79</v>
      </c>
      <c r="H46" s="44">
        <v>79</v>
      </c>
      <c r="I46" s="81">
        <v>83</v>
      </c>
      <c r="J46" s="47">
        <v>85</v>
      </c>
      <c r="K46" s="47">
        <v>85</v>
      </c>
    </row>
    <row r="47" spans="1:11" x14ac:dyDescent="0.25">
      <c r="A47" s="15">
        <v>45</v>
      </c>
      <c r="B47" s="44">
        <v>81</v>
      </c>
      <c r="C47" s="44">
        <v>81</v>
      </c>
      <c r="D47" s="65">
        <v>83</v>
      </c>
      <c r="E47" s="44">
        <v>85</v>
      </c>
      <c r="F47" s="44"/>
      <c r="G47" s="67">
        <v>79</v>
      </c>
      <c r="H47" s="44">
        <v>83</v>
      </c>
      <c r="I47" s="81">
        <v>83</v>
      </c>
      <c r="J47" s="47">
        <v>83</v>
      </c>
      <c r="K47" s="47">
        <v>85</v>
      </c>
    </row>
    <row r="48" spans="1:11" x14ac:dyDescent="0.25">
      <c r="A48" s="15">
        <v>46</v>
      </c>
      <c r="B48" s="44">
        <v>81</v>
      </c>
      <c r="C48" s="44">
        <v>79</v>
      </c>
      <c r="D48" s="65">
        <v>83</v>
      </c>
      <c r="E48" s="44">
        <v>83</v>
      </c>
      <c r="F48" s="44"/>
      <c r="G48" s="67">
        <v>79</v>
      </c>
      <c r="H48" s="44">
        <v>81</v>
      </c>
      <c r="I48" s="81">
        <v>83</v>
      </c>
      <c r="J48" s="47">
        <v>85</v>
      </c>
      <c r="K48" s="47">
        <v>85</v>
      </c>
    </row>
    <row r="49" spans="1:11" x14ac:dyDescent="0.25">
      <c r="A49" s="15">
        <v>47</v>
      </c>
      <c r="B49" s="44">
        <v>83</v>
      </c>
      <c r="C49" s="44">
        <v>81</v>
      </c>
      <c r="D49" s="65">
        <v>83</v>
      </c>
      <c r="E49" s="44">
        <v>85</v>
      </c>
      <c r="F49" s="44"/>
      <c r="G49" s="67">
        <v>81</v>
      </c>
      <c r="H49" s="44">
        <v>81</v>
      </c>
      <c r="I49" s="81">
        <v>83</v>
      </c>
      <c r="J49" s="47">
        <v>85</v>
      </c>
      <c r="K49" s="47">
        <v>85</v>
      </c>
    </row>
    <row r="50" spans="1:11" x14ac:dyDescent="0.25">
      <c r="A50" s="15">
        <v>48</v>
      </c>
      <c r="B50" s="44">
        <v>83</v>
      </c>
      <c r="C50" s="44">
        <v>81</v>
      </c>
      <c r="D50" s="65">
        <v>81</v>
      </c>
      <c r="E50" s="44">
        <v>85</v>
      </c>
      <c r="F50" s="44"/>
      <c r="G50" s="67">
        <v>81</v>
      </c>
      <c r="H50" s="45">
        <v>83</v>
      </c>
      <c r="I50" s="81">
        <v>83</v>
      </c>
      <c r="J50" s="47">
        <v>83</v>
      </c>
      <c r="K50" s="47">
        <v>85</v>
      </c>
    </row>
    <row r="51" spans="1:11" x14ac:dyDescent="0.25">
      <c r="A51" s="15">
        <v>49</v>
      </c>
      <c r="B51" s="44">
        <v>81</v>
      </c>
      <c r="C51" s="44">
        <v>83</v>
      </c>
      <c r="D51" s="65">
        <v>83</v>
      </c>
      <c r="E51" s="44">
        <v>85</v>
      </c>
      <c r="F51" s="44"/>
      <c r="G51" s="67">
        <v>81</v>
      </c>
      <c r="H51" s="44">
        <v>83</v>
      </c>
      <c r="I51" s="81">
        <v>81</v>
      </c>
      <c r="J51" s="43">
        <v>83</v>
      </c>
      <c r="K51" s="47">
        <v>81</v>
      </c>
    </row>
    <row r="52" spans="1:11" ht="15.75" thickBot="1" x14ac:dyDescent="0.3">
      <c r="A52" s="17">
        <v>50</v>
      </c>
      <c r="B52" s="48">
        <v>81</v>
      </c>
      <c r="C52" s="48">
        <v>83</v>
      </c>
      <c r="D52" s="48">
        <v>83</v>
      </c>
      <c r="E52" s="48">
        <v>85</v>
      </c>
      <c r="F52" s="48"/>
      <c r="G52" s="48">
        <v>79</v>
      </c>
      <c r="H52" s="48">
        <v>83</v>
      </c>
      <c r="I52" s="50">
        <v>81</v>
      </c>
      <c r="J52" s="43">
        <v>83</v>
      </c>
      <c r="K52" s="47">
        <v>83</v>
      </c>
    </row>
    <row r="53" spans="1:11" x14ac:dyDescent="0.25">
      <c r="A53" s="5"/>
    </row>
    <row r="54" spans="1:11" x14ac:dyDescent="0.25">
      <c r="A54" s="22" t="s">
        <v>52</v>
      </c>
      <c r="B54" s="23">
        <f t="shared" ref="B54:J54" si="0">AVERAGE(B3:B52)</f>
        <v>81.98</v>
      </c>
      <c r="C54" s="23">
        <f t="shared" si="0"/>
        <v>81.88</v>
      </c>
      <c r="D54" s="23">
        <f t="shared" si="0"/>
        <v>82.56</v>
      </c>
      <c r="E54" s="23">
        <f t="shared" si="0"/>
        <v>84.1</v>
      </c>
      <c r="F54" s="97">
        <f>AVERAGE(F3:F12)</f>
        <v>80.8</v>
      </c>
      <c r="G54" s="23">
        <f t="shared" si="0"/>
        <v>80.64</v>
      </c>
      <c r="H54" s="23">
        <f t="shared" si="0"/>
        <v>81.44</v>
      </c>
      <c r="I54" s="23">
        <f t="shared" si="0"/>
        <v>81.96</v>
      </c>
      <c r="J54" s="23">
        <f t="shared" si="0"/>
        <v>82.88</v>
      </c>
    </row>
    <row r="55" spans="1:11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</row>
    <row r="56" spans="1:11" s="27" customFormat="1" x14ac:dyDescent="0.25">
      <c r="A56" s="22">
        <v>79</v>
      </c>
      <c r="B56" s="23">
        <f>COUNTIF(B3:B52,79)</f>
        <v>1</v>
      </c>
      <c r="C56" s="23">
        <f t="shared" ref="C56:K56" si="1">COUNTIF(C3:C52,79)</f>
        <v>3</v>
      </c>
      <c r="D56" s="23">
        <f t="shared" si="1"/>
        <v>1</v>
      </c>
      <c r="E56" s="23">
        <f t="shared" si="1"/>
        <v>0</v>
      </c>
      <c r="F56" s="23">
        <f t="shared" si="1"/>
        <v>4</v>
      </c>
      <c r="G56" s="23">
        <f t="shared" si="1"/>
        <v>16</v>
      </c>
      <c r="H56" s="23">
        <f t="shared" si="1"/>
        <v>8</v>
      </c>
      <c r="I56" s="23">
        <f t="shared" si="1"/>
        <v>0</v>
      </c>
      <c r="J56" s="23">
        <f t="shared" si="1"/>
        <v>0</v>
      </c>
      <c r="K56" s="23">
        <f t="shared" si="1"/>
        <v>0</v>
      </c>
    </row>
    <row r="57" spans="1:11" s="27" customFormat="1" x14ac:dyDescent="0.25">
      <c r="A57" s="22">
        <v>80</v>
      </c>
      <c r="B57" s="23">
        <f>COUNTIF(B3:B52,80)</f>
        <v>1</v>
      </c>
      <c r="C57" s="23">
        <f t="shared" ref="C57:K57" si="2">COUNTIF(C3:C52,80)</f>
        <v>0</v>
      </c>
      <c r="D57" s="23">
        <f t="shared" si="2"/>
        <v>0</v>
      </c>
      <c r="E57" s="23">
        <f t="shared" si="2"/>
        <v>1</v>
      </c>
      <c r="F57" s="23">
        <f t="shared" si="2"/>
        <v>0</v>
      </c>
      <c r="G57" s="23">
        <f t="shared" si="2"/>
        <v>0</v>
      </c>
      <c r="H57" s="23">
        <f t="shared" si="2"/>
        <v>0</v>
      </c>
      <c r="I57" s="23">
        <f t="shared" si="2"/>
        <v>0</v>
      </c>
      <c r="J57" s="23">
        <f t="shared" si="2"/>
        <v>0</v>
      </c>
      <c r="K57" s="23">
        <f t="shared" si="2"/>
        <v>0</v>
      </c>
    </row>
    <row r="58" spans="1:11" s="27" customFormat="1" x14ac:dyDescent="0.25">
      <c r="A58" s="22">
        <v>81</v>
      </c>
      <c r="B58" s="23">
        <f>COUNTIF(B3:B52,81)</f>
        <v>22</v>
      </c>
      <c r="C58" s="23">
        <f t="shared" ref="C58:K58" si="3">COUNTIF(C3:C52,81)</f>
        <v>22</v>
      </c>
      <c r="D58" s="23">
        <f t="shared" si="3"/>
        <v>9</v>
      </c>
      <c r="E58" s="23">
        <f t="shared" si="3"/>
        <v>1</v>
      </c>
      <c r="F58" s="23">
        <f t="shared" si="3"/>
        <v>3</v>
      </c>
      <c r="G58" s="23">
        <f t="shared" si="3"/>
        <v>27</v>
      </c>
      <c r="H58" s="23">
        <f t="shared" si="3"/>
        <v>23</v>
      </c>
      <c r="I58" s="102">
        <f t="shared" si="3"/>
        <v>26</v>
      </c>
      <c r="J58" s="23">
        <f t="shared" si="3"/>
        <v>15</v>
      </c>
      <c r="K58" s="23">
        <f t="shared" si="3"/>
        <v>7</v>
      </c>
    </row>
    <row r="59" spans="1:11" s="27" customFormat="1" x14ac:dyDescent="0.25">
      <c r="A59" s="22">
        <v>83</v>
      </c>
      <c r="B59" s="102">
        <f>COUNTIF(B3:B52,83)</f>
        <v>26</v>
      </c>
      <c r="C59" s="102">
        <f t="shared" ref="C59:K59" si="4">COUNTIF(C3:C52,83)</f>
        <v>25</v>
      </c>
      <c r="D59" s="102">
        <f t="shared" si="4"/>
        <v>40</v>
      </c>
      <c r="E59" s="23">
        <f t="shared" si="4"/>
        <v>18</v>
      </c>
      <c r="F59" s="23">
        <f t="shared" si="4"/>
        <v>3</v>
      </c>
      <c r="G59" s="23">
        <f t="shared" si="4"/>
        <v>7</v>
      </c>
      <c r="H59" s="23">
        <f t="shared" si="4"/>
        <v>19</v>
      </c>
      <c r="I59" s="23">
        <f t="shared" si="4"/>
        <v>24</v>
      </c>
      <c r="J59" s="23">
        <f t="shared" si="4"/>
        <v>23</v>
      </c>
      <c r="K59" s="23">
        <f t="shared" si="4"/>
        <v>13</v>
      </c>
    </row>
    <row r="60" spans="1:11" s="27" customFormat="1" x14ac:dyDescent="0.25">
      <c r="A60" s="22">
        <v>85</v>
      </c>
      <c r="B60" s="23">
        <f>COUNTIF(B3:B52,85)</f>
        <v>0</v>
      </c>
      <c r="C60" s="23">
        <f t="shared" ref="C60:K60" si="5">COUNTIF(C3:C52,85)</f>
        <v>0</v>
      </c>
      <c r="D60" s="23">
        <f t="shared" si="5"/>
        <v>0</v>
      </c>
      <c r="E60" s="102">
        <f t="shared" si="5"/>
        <v>30</v>
      </c>
      <c r="F60" s="23">
        <f t="shared" si="5"/>
        <v>0</v>
      </c>
      <c r="G60" s="23">
        <f t="shared" si="5"/>
        <v>0</v>
      </c>
      <c r="H60" s="23">
        <f t="shared" si="5"/>
        <v>0</v>
      </c>
      <c r="I60" s="23">
        <f t="shared" si="5"/>
        <v>0</v>
      </c>
      <c r="J60" s="23">
        <f t="shared" si="5"/>
        <v>12</v>
      </c>
      <c r="K60" s="23">
        <f t="shared" si="5"/>
        <v>30</v>
      </c>
    </row>
    <row r="61" spans="1:11" s="25" customFormat="1" x14ac:dyDescent="0.25">
      <c r="A61" s="28"/>
      <c r="B61" s="89">
        <f>SUM(B56:B60)</f>
        <v>50</v>
      </c>
      <c r="C61" s="89">
        <f t="shared" ref="C61:K61" si="6">SUM(C56:C60)</f>
        <v>50</v>
      </c>
      <c r="D61" s="89">
        <f t="shared" si="6"/>
        <v>50</v>
      </c>
      <c r="E61" s="89">
        <f t="shared" si="6"/>
        <v>50</v>
      </c>
      <c r="F61" s="90">
        <f t="shared" si="6"/>
        <v>10</v>
      </c>
      <c r="G61" s="89">
        <f t="shared" si="6"/>
        <v>50</v>
      </c>
      <c r="H61" s="89">
        <f t="shared" si="6"/>
        <v>50</v>
      </c>
      <c r="I61" s="89">
        <f t="shared" si="6"/>
        <v>50</v>
      </c>
      <c r="J61" s="89">
        <f t="shared" si="6"/>
        <v>50</v>
      </c>
      <c r="K61" s="89">
        <f t="shared" si="6"/>
        <v>50</v>
      </c>
    </row>
    <row r="62" spans="1:11" x14ac:dyDescent="0.25">
      <c r="A62" s="52"/>
    </row>
    <row r="63" spans="1:11" s="25" customFormat="1" x14ac:dyDescent="0.25">
      <c r="A63" s="87" t="s">
        <v>110</v>
      </c>
      <c r="B63" s="24">
        <f>SUM(B56)</f>
        <v>1</v>
      </c>
      <c r="C63" s="24">
        <f t="shared" ref="C63:J63" si="7">SUM(C56)</f>
        <v>3</v>
      </c>
      <c r="D63" s="24">
        <f t="shared" si="7"/>
        <v>1</v>
      </c>
      <c r="E63" s="24">
        <f t="shared" si="7"/>
        <v>0</v>
      </c>
      <c r="F63" s="24">
        <f t="shared" si="7"/>
        <v>4</v>
      </c>
      <c r="G63" s="24">
        <f t="shared" si="7"/>
        <v>16</v>
      </c>
      <c r="H63" s="24">
        <f t="shared" si="7"/>
        <v>8</v>
      </c>
      <c r="I63" s="24">
        <f t="shared" si="7"/>
        <v>0</v>
      </c>
      <c r="J63" s="24">
        <f t="shared" si="7"/>
        <v>0</v>
      </c>
      <c r="K63" s="23" t="s">
        <v>108</v>
      </c>
    </row>
    <row r="64" spans="1:11" x14ac:dyDescent="0.25">
      <c r="A64" t="s">
        <v>109</v>
      </c>
      <c r="B64" s="101">
        <f>SUM(B57:B60)</f>
        <v>49</v>
      </c>
      <c r="C64" s="101">
        <f t="shared" ref="C64:J64" si="8">SUM(C57:C60)</f>
        <v>47</v>
      </c>
      <c r="D64" s="101">
        <f t="shared" si="8"/>
        <v>49</v>
      </c>
      <c r="E64" s="101">
        <f t="shared" si="8"/>
        <v>50</v>
      </c>
      <c r="F64" s="101">
        <f t="shared" si="8"/>
        <v>6</v>
      </c>
      <c r="G64" s="101">
        <f t="shared" si="8"/>
        <v>34</v>
      </c>
      <c r="H64" s="101">
        <f t="shared" si="8"/>
        <v>42</v>
      </c>
      <c r="I64" s="101">
        <f t="shared" si="8"/>
        <v>50</v>
      </c>
      <c r="J64" s="24">
        <f t="shared" si="8"/>
        <v>50</v>
      </c>
      <c r="K64" s="100" t="s">
        <v>111</v>
      </c>
    </row>
  </sheetData>
  <mergeCells count="1">
    <mergeCell ref="B1:K1"/>
  </mergeCells>
  <pageMargins left="1.2204724409448819" right="0.23622047244094491" top="0.74803149606299213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Descriere BBCHuri</vt:lpstr>
      <vt:lpstr>Soiuri SCDVV</vt:lpstr>
      <vt:lpstr>0 – DEZMUGURIRE (18.04.2023 (2)</vt:lpstr>
      <vt:lpstr>0 – DEZMUGURIRE (20.04.2023)</vt:lpstr>
      <vt:lpstr>0 – DEZMUGURIRE (28.04.2023)</vt:lpstr>
      <vt:lpstr>1 – FRUNZE (02.05.2023)</vt:lpstr>
      <vt:lpstr>5 – AP. INFL. (10.05.2023)</vt:lpstr>
      <vt:lpstr>5 – AP. INFL (29.05.2023) </vt:lpstr>
      <vt:lpstr>6 – ÎNFLORIRE (06.06.2023)</vt:lpstr>
      <vt:lpstr>7 – DEZV. BOABE (20.06.2023)</vt:lpstr>
      <vt:lpstr>77 – COMPACTARE (13.07.2023)</vt:lpstr>
      <vt:lpstr>8 – PÎRGA (23.08.2023)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Doinita</dc:creator>
  <cp:lastModifiedBy>Admin</cp:lastModifiedBy>
  <cp:lastPrinted>2023-03-27T11:41:28Z</cp:lastPrinted>
  <dcterms:created xsi:type="dcterms:W3CDTF">2022-04-27T07:17:46Z</dcterms:created>
  <dcterms:modified xsi:type="dcterms:W3CDTF">2023-12-20T09:03:20Z</dcterms:modified>
</cp:coreProperties>
</file>